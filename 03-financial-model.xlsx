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Assumptions" sheetId="2" state="visible" r:id="rId4"/>
    <sheet name="Revenue" sheetId="3" state="visible" r:id="rId5"/>
    <sheet name="Investment" sheetId="4" state="visible" r:id="rId6"/>
    <sheet name="Loan" sheetId="5" state="visible" r:id="rId7"/>
    <sheet name="PnL" sheetId="6" state="visible" r:id="rId8"/>
    <sheet name="BreakEven" sheetId="7" state="visible" r:id="rId9"/>
    <sheet name="KPI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<sst xmlns="http://schemas.openxmlformats.org/spreadsheetml/2006/main" count="305" uniqueCount="262">
  <si>
    <t xml:space="preserve">Restaurant Financial Model — Template</t>
  </si>
  <si>
    <t xml:space="preserve">Part of the Restaurant Feasibility Toolkit · github.com/thomasgilodi-design/restaurant-feasibility-toolkit</t>
  </si>
  <si>
    <t xml:space="preserve">This template reproduces the structure of the financial model I built for my own restaurant venture,</t>
  </si>
  <si>
    <t xml:space="preserve">with all figures replaced by illustrative examples. It models a mid-size full-service restaurant in France.</t>
  </si>
  <si>
    <t xml:space="preserve">TABS, IN READING ORDER</t>
  </si>
  <si>
    <t xml:space="preserve">Assumptions — every hypothesis in one place: baskets &amp; customers per daypart, weekly pattern, ramp-up, costs, payroll.</t>
  </si>
  <si>
    <t xml:space="preserve">Revenue — the revenue equation: basket × customers × weekly pattern × operating calendar, plus Year-1 monthly ramp-up.</t>
  </si>
  <si>
    <t xml:space="preserve">PnL — 4-year profit &amp; loss down to net income and cash flow after debt service.</t>
  </si>
  <si>
    <t xml:space="preserve">Investment — opening needs (capex, key money, fees, working capital, cash reserve) and the funding plan.</t>
  </si>
  <si>
    <t xml:space="preserve">Loan — full monthly amortisation table, with an interest-only deferral period.</t>
  </si>
  <si>
    <t xml:space="preserve">BreakEven — break-even revenue and covers at four rent scenarios: test locations BEFORE signing.</t>
  </si>
  <si>
    <t xml:space="preserve">KPIs — sanity-check dashboard against industry benchmarks.</t>
  </si>
  <si>
    <t xml:space="preserve">COLOUR CODE</t>
  </si>
  <si>
    <t xml:space="preserve">Blue text = input cell, edit me. All example values are illustrative, not real data.</t>
  </si>
  <si>
    <t xml:space="preserve">Black text = formula, do not overwrite.</t>
  </si>
  <si>
    <t xml:space="preserve">Green text = formula linked to another tab.</t>
  </si>
  <si>
    <t xml:space="preserve">CONVENTIONS &amp; LIMITS</t>
  </si>
  <si>
    <t xml:space="preserve">All figures excl. VAT unless stated. French conventions: VAT 10% food / 20% alcohol, employer charges ~42% of gross.</t>
  </si>
  <si>
    <t xml:space="preserve">Year 1 applies the monthly ramp-up; Year 2+ = cruise speed plus annual growth. Operating costs are indexed yearly.</t>
  </si>
  <si>
    <t xml:space="preserve">Rent is held flat (typical 3-6-9 lease); payroll grows with the wage-growth input; headcount is held constant.</t>
  </si>
  <si>
    <t xml:space="preserve">Year 2+ margins in the example sit on the optimistic side — always stress-test at −20% revenue before believing them.</t>
  </si>
  <si>
    <t xml:space="preserve">Example figures only — a method, not a promise. Author: Thomas Gilodi, 2026 — MIT License.</t>
  </si>
  <si>
    <t xml:space="preserve">Assumptions</t>
  </si>
  <si>
    <t xml:space="preserve">Blue cells = inputs. Example values — replace with your own.</t>
  </si>
  <si>
    <t xml:space="preserve">REVENUE DRIVERS — PER DAYPART</t>
  </si>
  <si>
    <t xml:space="preserve">Lunch</t>
  </si>
  <si>
    <t xml:space="preserve">Dinner</t>
  </si>
  <si>
    <t xml:space="preserve">Delivery</t>
  </si>
  <si>
    <t xml:space="preserve">Average basket (incl. VAT)</t>
  </si>
  <si>
    <t xml:space="preserve">Average VAT rate</t>
  </si>
  <si>
    <t xml:space="preserve">10% food, 20% alcohol — weight by drinks share of each daypart</t>
  </si>
  <si>
    <t xml:space="preserve">Average basket (excl. VAT)</t>
  </si>
  <si>
    <t xml:space="preserve">Customers / standard day (cruise speed)</t>
  </si>
  <si>
    <t xml:space="preserve">A realistic full day once established — not your best day ever</t>
  </si>
  <si>
    <t xml:space="preserve">WEEKLY PATTERN (coefficient vs a standard day; 0 = closed)</t>
  </si>
  <si>
    <t xml:space="preserve">Monday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</si>
  <si>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</si>
  <si>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</si>
  <si>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</si>
  <si>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</si>
  <si>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</si>
  <si>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Sunday</t>
  </si>
  <si>
    <t xml:space="preserve">Weekly index (standard days / week)</t>
  </si>
  <si>
    <t xml:space="preserve">OPERATING CALENDAR</t>
  </si>
  <si>
    <t xml:space="preserve">Weeks per month</t>
  </si>
  <si>
    <t xml:space="preserve">Months of operation / year</t>
  </si>
  <si>
    <t xml:space="preserve">Allows for annual closure, holidays and dead weeks</t>
  </si>
  <si>
    <t xml:space="preserve">YEAR 1 RAMP-UP (% below cruise speed, by month)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</si>
  <si>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</si>
  <si>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</si>
  <si>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</si>
  <si>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</si>
  <si>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</si>
  <si>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</si>
  <si>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</si>
  <si>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</si>
  <si>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</si>
  <si>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</si>
  <si>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</si>
  <si>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</si>
  <si>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Ramp-up coefficient</t>
  </si>
  <si>
    <t xml:space="preserve">ANNUAL REVENUE GROWTH (after Year 1)</t>
  </si>
  <si>
    <t xml:space="preserve">Year 2</t>
  </si>
  <si>
    <t xml:space="preserve">Year 3</t>
  </si>
  <si>
    <t xml:space="preserve">Year 4</t>
  </si>
  <si>
    <t xml:space="preserve">Growth vs previous year</t>
  </si>
  <si>
    <t xml:space="preserve">DIRECT COSTS (% of revenue excl. VAT)</t>
  </si>
  <si>
    <t xml:space="preserve">Food &amp; beverage cost</t>
  </si>
  <si>
    <t xml:space="preserve">Benchmark: 25–32%</t>
  </si>
  <si>
    <t xml:space="preserve">Packaging</t>
  </si>
  <si>
    <t xml:space="preserve">Mostly delivery/takeaway</t>
  </si>
  <si>
    <t xml:space="preserve">Cleaning products</t>
  </si>
  <si>
    <t xml:space="preserve">Dishware &amp; smallware renewal</t>
  </si>
  <si>
    <t xml:space="preserve">OPERATING COSTS (annual, Year 1 basis)</t>
  </si>
  <si>
    <t xml:space="preserve">Rent &amp; charges</t>
  </si>
  <si>
    <t xml:space="preserve">Test other levels in the BreakEven tab before signing</t>
  </si>
  <si>
    <t xml:space="preserve">Energy</t>
  </si>
  <si>
    <t xml:space="preserve">Maintenance</t>
  </si>
  <si>
    <t xml:space="preserve">Marketing</t>
  </si>
  <si>
    <t xml:space="preserve">Software &amp; POS</t>
  </si>
  <si>
    <t xml:space="preserve">Small equipment</t>
  </si>
  <si>
    <t xml:space="preserve">Bank &amp; insurance</t>
  </si>
  <si>
    <t xml:space="preserve">Legal</t>
  </si>
  <si>
    <t xml:space="preserve">Accounting</t>
  </si>
  <si>
    <t xml:space="preserve">Other costs (% of revenue)</t>
  </si>
  <si>
    <t xml:space="preserve">Annual cost indexation</t>
  </si>
  <si>
    <t xml:space="preserve">Applied to all cost lines above except rent</t>
  </si>
  <si>
    <t xml:space="preserve">PAYROLL (roster)</t>
  </si>
  <si>
    <t xml:space="preserve">Position</t>
  </si>
  <si>
    <t xml:space="preserve">Monthly gross</t>
  </si>
  <si>
    <t xml:space="preserve">Headcount</t>
  </si>
  <si>
    <t xml:space="preserve">Manager</t>
  </si>
  <si>
    <t xml:space="preserve">Head chef</t>
  </si>
  <si>
    <t xml:space="preserve">Sous-chef</t>
  </si>
  <si>
    <t xml:space="preserve">Cook</t>
  </si>
  <si>
    <t xml:space="preserve">Waiter (chef de rang)</t>
  </si>
  <si>
    <t xml:space="preserve">Dishwasher</t>
  </si>
  <si>
    <t xml:space="preserve">Total monthly gross payroll — headcount</t>
  </si>
  <si>
    <t xml:space="preserve">Employer charges (% of gross)</t>
  </si>
  <si>
    <t xml:space="preserve">Annual wage growth</t>
  </si>
  <si>
    <t xml:space="preserve">TAXES</t>
  </si>
  <si>
    <t xml:space="preserve">Payroll-based taxes (% of gross payroll)</t>
  </si>
  <si>
    <t xml:space="preserve">Training levy + apprenticeship tax, approx.</t>
  </si>
  <si>
    <t xml:space="preserve">Corporate tax rate</t>
  </si>
  <si>
    <t xml:space="preserve">CAPACITY (for KPIs)</t>
  </si>
  <si>
    <t xml:space="preserve">Seats</t>
  </si>
  <si>
    <t xml:space="preserve">Surface (m²)</t>
  </si>
  <si>
    <t xml:space="preserve">Opening hours / week</t>
  </si>
  <si>
    <t xml:space="preserve">Revenue Build — from basket to annual revenue</t>
  </si>
  <si>
    <t xml:space="preserve">DAILY REVENUE AT CRUISE SPEED</t>
  </si>
  <si>
    <t xml:space="preserve">TOTAL</t>
  </si>
  <si>
    <t xml:space="preserve">Customers / standard day</t>
  </si>
  <si>
    <t xml:space="preserve">Revenue / standard day</t>
  </si>
  <si>
    <t xml:space="preserve">WEEKLY, MONTHLY, ANNUAL — CRUISE SPEED</t>
  </si>
  <si>
    <t xml:space="preserve">Weekly index (from weekly pattern)</t>
  </si>
  <si>
    <t xml:space="preserve">Revenue / week</t>
  </si>
  <si>
    <t xml:space="preserve">Revenue / month</t>
  </si>
  <si>
    <t xml:space="preserve">Revenue / year (cruise speed)</t>
  </si>
  <si>
    <t xml:space="preserve">YEAR 1 — MONTHLY RAMP-UP</t>
  </si>
  <si>
    <t xml:space="preserve">Total / month</t>
  </si>
  <si>
    <t xml:space="preserve">Year 1 revenue (adjusted for closures)</t>
  </si>
  <si>
    <t xml:space="preserve">12 ramped months scaled by the operating-months factor — feeds the PnL</t>
  </si>
  <si>
    <t xml:space="preserve">Investment Plan &amp; Funding</t>
  </si>
  <si>
    <t xml:space="preserve">CAPEX — DEPRECIABLE</t>
  </si>
  <si>
    <t xml:space="preserve">Item</t>
  </si>
  <si>
    <t xml:space="preserve">Amount</t>
  </si>
  <si>
    <t xml:space="preserve">Depr. (years)</t>
  </si>
  <si>
    <t xml:space="preserve">Annual depr.</t>
  </si>
  <si>
    <t xml:space="preserve">Works &amp; renovation</t>
  </si>
  <si>
    <t xml:space="preserve">Restaurant-experienced contractors only; +15–20% contingency in quotes</t>
  </si>
  <si>
    <t xml:space="preserve">Kitchen equipment</t>
  </si>
  <si>
    <t xml:space="preserve">Second-hand can cut this 30–50%</t>
  </si>
  <si>
    <t xml:space="preserve">Furniture &amp; decor</t>
  </si>
  <si>
    <t xml:space="preserve">Signage &amp; visual identity</t>
  </si>
  <si>
    <t xml:space="preserve">Subtotal capex</t>
  </si>
  <si>
    <t xml:space="preserve">NON-DEPRECIABLE</t>
  </si>
  <si>
    <t xml:space="preserve">Key money / droit au bail / fonds de commerce</t>
  </si>
  <si>
    <t xml:space="preserve">Hugely variable by city and street — often the single biggest line, and negotiable</t>
  </si>
  <si>
    <t xml:space="preserve">Lease guarantee &amp; deposit</t>
  </si>
  <si>
    <t xml:space="preserve">Subtotal</t>
  </si>
  <si>
    <t xml:space="preserve">FEES</t>
  </si>
  <si>
    <t xml:space="preserve">Architect &amp; design</t>
  </si>
  <si>
    <t xml:space="preserve">Legal &amp; company creation</t>
  </si>
  <si>
    <t xml:space="preserve">Agency / brokerage fees</t>
  </si>
  <si>
    <t xml:space="preserve">PRE-OPENING</t>
  </si>
  <si>
    <t xml:space="preserve">Pre-opening marketing</t>
  </si>
  <si>
    <t xml:space="preserve">Training &amp; pre-opening payroll</t>
  </si>
  <si>
    <t xml:space="preserve">Initial stock</t>
  </si>
  <si>
    <t xml:space="preserve">WORKING CAPITAL &amp; CASH RESERVE</t>
  </si>
  <si>
    <t xml:space="preserve">Stock rotation (days)</t>
  </si>
  <si>
    <t xml:space="preserve">Customer credit (days)</t>
  </si>
  <si>
    <t xml:space="preserve">Restaurants are paid cash — near zero</t>
  </si>
  <si>
    <t xml:space="preserve">Supplier credit (days)</t>
  </si>
  <si>
    <t xml:space="preserve">Working capital (BFR)</t>
  </si>
  <si>
    <t xml:space="preserve">Stock + customer credit − supplier credit; often near zero or negative in restaurants</t>
  </si>
  <si>
    <t xml:space="preserve">Months of fixed costs held in cash reserve</t>
  </si>
  <si>
    <t xml:space="preserve">Most failures are cash-outs during ramp-up, not bad concepts</t>
  </si>
  <si>
    <t xml:space="preserve">Cash reserve</t>
  </si>
  <si>
    <t xml:space="preserve">TOTAL NEEDS</t>
  </si>
  <si>
    <t xml:space="preserve">FUNDING PLAN</t>
  </si>
  <si>
    <t xml:space="preserve">Founder equity</t>
  </si>
  <si>
    <t xml:space="preserve">Banks expect meaningful skin in the game</t>
  </si>
  <si>
    <t xml:space="preserve">Love money / family &amp; friends</t>
  </si>
  <si>
    <t xml:space="preserve">Investor equity (business angels)</t>
  </si>
  <si>
    <t xml:space="preserve">Price the equity carefully — hard to undo</t>
  </si>
  <si>
    <t xml:space="preserve">Bank loan</t>
  </si>
  <si>
    <t xml:space="preserve">Set the amount in the Loan tab; keep ≤ ~50% of total funding</t>
  </si>
  <si>
    <t xml:space="preserve">Honour loans &amp; subsidies</t>
  </si>
  <si>
    <t xml:space="preserve">Réseau Entreprendre, Initiative France… interest-free and a strong signal to banks</t>
  </si>
  <si>
    <t xml:space="preserve">TOTAL FUNDING</t>
  </si>
  <si>
    <t xml:space="preserve">Surplus / (gap)</t>
  </si>
  <si>
    <t xml:space="preserve">Must be ≥ 0</t>
  </si>
  <si>
    <t xml:space="preserve">Loan Amortisation (constant annuities, with deferral)</t>
  </si>
  <si>
    <t xml:space="preserve">PARAMETERS</t>
  </si>
  <si>
    <t xml:space="preserve">Principal</t>
  </si>
  <si>
    <t xml:space="preserve">Annual interest rate</t>
  </si>
  <si>
    <t xml:space="preserve">Duration (years)</t>
  </si>
  <si>
    <t xml:space="preserve">Payments / year</t>
  </si>
  <si>
    <t xml:space="preserve">Interest-only months (deferral)</t>
  </si>
  <si>
    <t xml:space="preserve">Negotiate a deferral so capital repayment starts after the ramp-up</t>
  </si>
  <si>
    <t xml:space="preserve">COMPUTED</t>
  </si>
  <si>
    <t xml:space="preserve">Periodic rate</t>
  </si>
  <si>
    <t xml:space="preserve">Total payments</t>
  </si>
  <si>
    <t xml:space="preserve">Payment during deferral (interest only)</t>
  </si>
  <si>
    <t xml:space="preserve">Payment during amortisation</t>
  </si>
  <si>
    <t xml:space="preserve">Total interest paid</t>
  </si>
  <si>
    <t xml:space="preserve">MONTHLY TABLE</t>
  </si>
  <si>
    <t xml:space="preserve">#</t>
  </si>
  <si>
    <t xml:space="preserve">Opening balance</t>
  </si>
  <si>
    <t xml:space="preserve">Payment</t>
  </si>
  <si>
    <t xml:space="preserve">Interest</t>
  </si>
  <si>
    <t xml:space="preserve">Closing balance</t>
  </si>
  <si>
    <t xml:space="preserve">Year</t>
  </si>
  <si>
    <t xml:space="preserve">Profit &amp; Loss — 4-Year Forecast (excl. VAT)</t>
  </si>
  <si>
    <t xml:space="preserve">Year 1 (ramp-up)</t>
  </si>
  <si>
    <t xml:space="preserve">Revenue</t>
  </si>
  <si>
    <t xml:space="preserve">Y1 = ramped; Y2 = cruise speed + growth; then annual growth</t>
  </si>
  <si>
    <t xml:space="preserve">Dishware renewal</t>
  </si>
  <si>
    <t xml:space="preserve">Total direct costs</t>
  </si>
  <si>
    <t xml:space="preserve">Gross margin</t>
  </si>
  <si>
    <t xml:space="preserve">Gross margin %</t>
  </si>
  <si>
    <t xml:space="preserve">Held flat (3-6-9 lease)</t>
  </si>
  <si>
    <t xml:space="preserve">Other costs</t>
  </si>
  <si>
    <t xml:space="preserve">Total operating costs</t>
  </si>
  <si>
    <t xml:space="preserve">Gross salaries</t>
  </si>
  <si>
    <t xml:space="preserve">Roster held constant; wages grow with the wage-growth input</t>
  </si>
  <si>
    <t xml:space="preserve">Employer social charges</t>
  </si>
  <si>
    <t xml:space="preserve">Payroll-based taxes</t>
  </si>
  <si>
    <t xml:space="preserve">Total staff costs</t>
  </si>
  <si>
    <t xml:space="preserve">EBITDA</t>
  </si>
  <si>
    <t xml:space="preserve">EBITDA %</t>
  </si>
  <si>
    <t xml:space="preserve">Depreciation</t>
  </si>
  <si>
    <t xml:space="preserve">Loan interest</t>
  </si>
  <si>
    <t xml:space="preserve">From the amortisation table — note the deferral effect in Year 1</t>
  </si>
  <si>
    <t xml:space="preserve">Profit before tax</t>
  </si>
  <si>
    <t xml:space="preserve">Corporate tax</t>
  </si>
  <si>
    <t xml:space="preserve">NET INCOME</t>
  </si>
  <si>
    <t xml:space="preserve">Cash flow (net income + depreciation)</t>
  </si>
  <si>
    <t xml:space="preserve">Loan principal repaid</t>
  </si>
  <si>
    <t xml:space="preserve">Free cash after debt service</t>
  </si>
  <si>
    <t xml:space="preserve">Break-Even — 4 Rent Scenarios (Year 2 cruise-speed basis)</t>
  </si>
  <si>
    <t xml:space="preserve">SHARED INPUTS</t>
  </si>
  <si>
    <t xml:space="preserve">Contribution margin (1 − variable cost %)</t>
  </si>
  <si>
    <t xml:space="preserve">Annual fixed costs excl. rent</t>
  </si>
  <si>
    <t xml:space="preserve">Staff + operating costs (net of rent) + depreciation + interest, Year 2</t>
  </si>
  <si>
    <t xml:space="preserve">Average basket (excl. VAT, weighted)</t>
  </si>
  <si>
    <t xml:space="preserve">Planned covers / week (cruise speed)</t>
  </si>
  <si>
    <t xml:space="preserve">SCENARIOS</t>
  </si>
  <si>
    <t xml:space="preserve">Scenario A</t>
  </si>
  <si>
    <t xml:space="preserve">Scenario B</t>
  </si>
  <si>
    <t xml:space="preserve">Scenario C</t>
  </si>
  <si>
    <t xml:space="preserve">Scenario D</t>
  </si>
  <si>
    <t xml:space="preserve">Monthly rent</t>
  </si>
  <si>
    <t xml:space="preserve">Annual rent</t>
  </si>
  <si>
    <t xml:space="preserve">Total annual fixed costs</t>
  </si>
  <si>
    <t xml:space="preserve">Break-even revenue (excl. VAT)</t>
  </si>
  <si>
    <t xml:space="preserve">Break-even revenue / month</t>
  </si>
  <si>
    <t xml:space="preserve">Break-even covers / week</t>
  </si>
  <si>
    <t xml:space="preserve">% of planned capacity</t>
  </si>
  <si>
    <t xml:space="preserve">Reading: above ~85% of planned capacity, the location leaves no margin for error — walk away or renegotiate.</t>
  </si>
  <si>
    <t xml:space="preserve">Stress test: cut customers/day by 20% in Assumptions and watch this table before signing any lease.</t>
  </si>
  <si>
    <t xml:space="preserve">KPI Dashboard — sanity checks</t>
  </si>
  <si>
    <t xml:space="preserve">KPI</t>
  </si>
  <si>
    <t xml:space="preserve">Value</t>
  </si>
  <si>
    <t xml:space="preserve">Benchmark low</t>
  </si>
  <si>
    <t xml:space="preserve">Benchmark high</t>
  </si>
  <si>
    <t xml:space="preserve">Revenue / year (cruise, excl. VAT)</t>
  </si>
  <si>
    <t xml:space="preserve">Revenue / seat</t>
  </si>
  <si>
    <t xml:space="preserve">Revenue / m²</t>
  </si>
  <si>
    <t xml:space="preserve">Revenue / opening hour (RevPAH)</t>
  </si>
  <si>
    <t xml:space="preserve">Food &amp; beverage cost %</t>
  </si>
  <si>
    <t xml:space="preserve">Staff costs / revenue (Year 2)</t>
  </si>
  <si>
    <t xml:space="preserve">Rent / revenue (Year 2)</t>
  </si>
  <si>
    <t xml:space="preserve">Above 10% at cruise speed is a red flag</t>
  </si>
  <si>
    <t xml:space="preserve">EBITDA margin (Year 2)</t>
  </si>
  <si>
    <t xml:space="preserve">If you are above the high benchmark, re-check your assumptions</t>
  </si>
  <si>
    <t xml:space="preserve">Total initial investment</t>
  </si>
  <si>
    <t xml:space="preserve">Investment / annual revenue</t>
  </si>
  <si>
    <t xml:space="preserve">Payback (years, on Year-2 cash flow)</t>
  </si>
  <si>
    <t xml:space="preserve">Break-even capacity use (Scenario B)</t>
  </si>
  <si>
    <t xml:space="preserve">Above 85%: no margin for error</t>
  </si>
  <si>
    <t xml:space="preserve">Benchmarks are broad French full-service-restaurant ranges — adjust to your segment.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</si>
</sst>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&quot; €&quot;;\(#,##0&quot; €)&quot;;\-"/>
    <numFmt numFmtId="166" formatCode="0.0%"/>
    <numFmt numFmtId="167" formatCode="#,##0.00&quot; €&quot;;\(#,##0.00&quot; €)&quot;;\-"/>
    <numFmt numFmtId="168" formatCode="#,##0;\(#,##0\);\-"/>
    <numFmt numFmtId="169" formatCode="0.00"/>
    <numFmt numFmtId="170" formatCode="0%"/>
    <numFmt numFmtId="171" formatCode="0.000%"/>
    <numFmt numFmtId="172" formatCode="#,##0.0;\(#,##0.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404040"/>
        <bgColor rgb="FF33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5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6" t="s">
        <v>15</v>
      </c>
    </row>
    <row r="21" customFormat="false" ht="15" hidden="false" customHeight="false" outlineLevel="0" collapsed="false">
      <c r="A21" s="4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  <row r="27" customFormat="false" ht="15" hidden="false" customHeight="false" outlineLevel="0" collapsed="false">
      <c r="A27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3" min="2" style="0" width="11"/>
  </cols>
  <sheetData>
    <row r="1" customFormat="false" ht="17.35" hidden="false" customHeight="false" outlineLevel="0" collapsed="false">
      <c r="A1" s="1" t="s">
        <v>22</v>
      </c>
      <c r="C1" s="2" t="s">
        <v>23</v>
      </c>
    </row>
    <row r="3" customFormat="false" ht="15" hidden="false" customHeight="false" outlineLevel="0" collapsed="false">
      <c r="A3" s="7" t="s">
        <v>24</v>
      </c>
      <c r="B3" s="8"/>
      <c r="C3" s="8"/>
      <c r="D3" s="8"/>
      <c r="E3" s="8"/>
      <c r="F3" s="8"/>
    </row>
    <row r="4" customFormat="false" ht="15" hidden="false" customHeight="false" outlineLevel="0" collapsed="false">
      <c r="B4" s="9" t="s">
        <v>25</v>
      </c>
      <c r="C4" s="9" t="s">
        <v>26</v>
      </c>
      <c r="D4" s="9" t="s">
        <v>27</v>
      </c>
    </row>
    <row r="5" customFormat="false" ht="15" hidden="false" customHeight="false" outlineLevel="0" collapsed="false">
      <c r="A5" s="3" t="s">
        <v>28</v>
      </c>
      <c r="B5" s="10" t="n">
        <v>24</v>
      </c>
      <c r="C5" s="10" t="n">
        <v>42</v>
      </c>
      <c r="D5" s="10" t="n">
        <v>26</v>
      </c>
    </row>
    <row r="6" customFormat="false" ht="15" hidden="false" customHeight="false" outlineLevel="0" collapsed="false">
      <c r="A6" s="3" t="s">
        <v>29</v>
      </c>
      <c r="B6" s="11" t="n">
        <v>0.11</v>
      </c>
      <c r="C6" s="11" t="n">
        <v>0.14</v>
      </c>
      <c r="D6" s="11" t="n">
        <v>0.1</v>
      </c>
      <c r="E6" s="2" t="s">
        <v>30</v>
      </c>
    </row>
    <row r="7" customFormat="false" ht="15" hidden="false" customHeight="false" outlineLevel="0" collapsed="false">
      <c r="A7" s="3" t="s">
        <v>31</v>
      </c>
      <c r="B7" s="12" t="n">
        <f aca="false">B5/(1+B6)</f>
        <v>21.6216216216216</v>
      </c>
      <c r="C7" s="12" t="n">
        <f aca="false">C5/(1+C6)</f>
        <v>36.8421052631579</v>
      </c>
      <c r="D7" s="12" t="n">
        <f aca="false">D5/(1+D6)</f>
        <v>23.6363636363636</v>
      </c>
    </row>
    <row r="8" customFormat="false" ht="15" hidden="false" customHeight="false" outlineLevel="0" collapsed="false">
      <c r="A8" s="3" t="s">
        <v>32</v>
      </c>
      <c r="B8" s="13" t="n">
        <v>40</v>
      </c>
      <c r="C8" s="13" t="n">
        <v>60</v>
      </c>
      <c r="D8" s="13" t="n">
        <v>12</v>
      </c>
      <c r="E8" s="2" t="s">
        <v>33</v>
      </c>
    </row>
    <row r="10" customFormat="false" ht="15" hidden="false" customHeight="false" outlineLevel="0" collapsed="false">
      <c r="A10" s="7" t="s">
        <v>34</v>
      </c>
      <c r="B10" s="8"/>
      <c r="C10" s="8"/>
      <c r="D10" s="8"/>
      <c r="E10" s="8"/>
      <c r="F10" s="8"/>
    </row>
    <row r="11" customFormat="false" ht="15" hidden="false" customHeight="false" outlineLevel="0" collapsed="false">
      <c r="B11" s="9" t="s">
        <v>25</v>
      </c>
      <c r="C11" s="9" t="s">
        <v>26</v>
      </c>
      <c r="D11" s="9" t="s">
        <v>27</v>
      </c>
    </row>
    <row r="12" customFormat="false" ht="15" hidden="false" customHeight="false" outlineLevel="0" collapsed="false">
      <c r="A12" s="3" t="s">
        <v>35</v>
      </c>
      <c r="B12" s="14" t="n">
        <v>0.8</v>
      </c>
      <c r="C12" s="14" t="n">
        <v>0.8</v>
      </c>
      <c r="D12" s="14" t="n">
        <v>0.8</v>
      </c>
    </row>
    <row r="13" customFormat="false" ht="15" hidden="false" customHeight="false" outlineLevel="0" collapsed="false">
      <c r="A13" s="3" t="s">
        <v>36</v>
      </c>
      <c r="B13" s="14" t="n">
        <v>0.8</v>
      </c>
      <c r="C13" s="14" t="n">
        <v>0.8</v>
      </c>
      <c r="D13" s="14" t="n">
        <v>0.8</v>
      </c>
    </row>
    <row r="14" customFormat="false" ht="15" hidden="false" customHeight="false" outlineLevel="0" collapsed="false">
      <c r="A14" s="3" t="s">
        <v>37</v>
      </c>
      <c r="B14" s="14" t="n">
        <v>1</v>
      </c>
      <c r="C14" s="14" t="n">
        <v>1</v>
      </c>
      <c r="D14" s="14" t="n">
        <v>1</v>
      </c>
    </row>
    <row r="15" customFormat="false" ht="15" hidden="false" customHeight="false" outlineLevel="0" collapsed="false">
      <c r="A15" s="3" t="s">
        <v>38</v>
      </c>
      <c r="B15" s="14" t="n">
        <v>1</v>
      </c>
      <c r="C15" s="14" t="n">
        <v>1.2</v>
      </c>
      <c r="D15" s="14" t="n">
        <v>1</v>
      </c>
    </row>
    <row r="16" customFormat="false" ht="15" hidden="false" customHeight="false" outlineLevel="0" collapsed="false">
      <c r="A16" s="3" t="s">
        <v>39</v>
      </c>
      <c r="B16" s="14" t="n">
        <v>1.2</v>
      </c>
      <c r="C16" s="14" t="n">
        <v>1.5</v>
      </c>
      <c r="D16" s="14" t="n">
        <v>1.2</v>
      </c>
    </row>
    <row r="17" customFormat="false" ht="15" hidden="false" customHeight="false" outlineLevel="0" collapsed="false">
      <c r="A17" s="3" t="s">
        <v>40</v>
      </c>
      <c r="B17" s="14" t="n">
        <v>1.2</v>
      </c>
      <c r="C17" s="14" t="n">
        <v>1.5</v>
      </c>
      <c r="D17" s="14" t="n">
        <v>0.8</v>
      </c>
    </row>
    <row r="18" customFormat="false" ht="15" hidden="false" customHeight="false" outlineLevel="0" collapsed="false">
      <c r="A18" s="3" t="s">
        <v>41</v>
      </c>
      <c r="B18" s="14" t="n">
        <v>0</v>
      </c>
      <c r="C18" s="14" t="n">
        <v>0</v>
      </c>
      <c r="D18" s="14" t="n">
        <v>0</v>
      </c>
    </row>
    <row r="19" customFormat="false" ht="15" hidden="false" customHeight="false" outlineLevel="0" collapsed="false">
      <c r="A19" s="4" t="s">
        <v>42</v>
      </c>
      <c r="B19" s="15" t="n">
        <f aca="false">SUM(B12:B18)</f>
        <v>6</v>
      </c>
      <c r="C19" s="15" t="n">
        <f aca="false">SUM(C12:C18)</f>
        <v>6.8</v>
      </c>
      <c r="D19" s="15" t="n">
        <f aca="false">SUM(D12:D18)</f>
        <v>5.6</v>
      </c>
    </row>
    <row r="21" customFormat="false" ht="15" hidden="false" customHeight="false" outlineLevel="0" collapsed="false">
      <c r="A21" s="7" t="s">
        <v>43</v>
      </c>
      <c r="B21" s="8"/>
      <c r="C21" s="8"/>
      <c r="D21" s="8"/>
      <c r="E21" s="8"/>
      <c r="F21" s="8"/>
    </row>
    <row r="22" customFormat="false" ht="15" hidden="false" customHeight="false" outlineLevel="0" collapsed="false">
      <c r="A22" s="3" t="s">
        <v>44</v>
      </c>
      <c r="B22" s="14" t="n">
        <v>4.33</v>
      </c>
    </row>
    <row r="23" customFormat="false" ht="15" hidden="false" customHeight="false" outlineLevel="0" collapsed="false">
      <c r="A23" s="3" t="s">
        <v>45</v>
      </c>
      <c r="B23" s="14" t="n">
        <v>10.5</v>
      </c>
      <c r="C23" s="2" t="s">
        <v>46</v>
      </c>
    </row>
    <row r="25" customFormat="false" ht="15" hidden="false" customHeight="false" outlineLevel="0" collapsed="false">
      <c r="A25" s="7" t="s">
        <v>47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r="26" customFormat="false" ht="15" hidden="false" customHeight="false" outlineLevel="0" collapsed="false">
      <c r="B26" s="9" t="s">
        <v>48</v>
      </c>
      <c r="C26" s="9" t="s">
        <v>49</v>
      </c>
      <c r="D26" s="9" t="s">
        <v>50</v>
      </c>
      <c r="E26" s="9" t="s">
        <v>51</v>
      </c>
      <c r="F26" s="9" t="s">
        <v>52</v>
      </c>
      <c r="G26" s="9" t="s">
        <v>53</v>
      </c>
      <c r="H26" s="9" t="s">
        <v>54</v>
      </c>
      <c r="I26" s="9" t="s">
        <v>55</v>
      </c>
      <c r="J26" s="9" t="s">
        <v>56</v>
      </c>
      <c r="K26" s="9" t="s">
        <v>57</v>
      </c>
      <c r="L26" s="9" t="s">
        <v>58</v>
      </c>
      <c r="M26" s="9" t="s">
        <v>59</v>
      </c>
    </row>
    <row r="27" customFormat="false" ht="15" hidden="false" customHeight="false" outlineLevel="0" collapsed="false">
      <c r="A27" s="3" t="s">
        <v>60</v>
      </c>
      <c r="B27" s="16" t="n">
        <v>-0.5</v>
      </c>
      <c r="C27" s="16" t="n">
        <v>-0.4</v>
      </c>
      <c r="D27" s="16" t="n">
        <v>-0.35</v>
      </c>
      <c r="E27" s="16" t="n">
        <v>-0.3</v>
      </c>
      <c r="F27" s="16" t="n">
        <v>-0.25</v>
      </c>
      <c r="G27" s="16" t="n">
        <v>-0.2</v>
      </c>
      <c r="H27" s="16" t="n">
        <v>-0.15</v>
      </c>
      <c r="I27" s="16" t="n">
        <v>-0.1</v>
      </c>
      <c r="J27" s="16" t="n">
        <v>-0.1</v>
      </c>
      <c r="K27" s="16" t="n">
        <v>-0.05</v>
      </c>
      <c r="L27" s="16" t="n">
        <v>-0.05</v>
      </c>
      <c r="M27" s="16" t="n">
        <v>0</v>
      </c>
    </row>
    <row r="29" customFormat="false" ht="15" hidden="false" customHeight="false" outlineLevel="0" collapsed="false">
      <c r="A29" s="7" t="s">
        <v>61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B30" s="9" t="s">
        <v>62</v>
      </c>
      <c r="C30" s="9" t="s">
        <v>63</v>
      </c>
      <c r="D30" s="9" t="s">
        <v>64</v>
      </c>
    </row>
    <row r="31" customFormat="false" ht="15" hidden="false" customHeight="false" outlineLevel="0" collapsed="false">
      <c r="A31" s="3" t="s">
        <v>65</v>
      </c>
      <c r="B31" s="11" t="n">
        <v>0.1</v>
      </c>
      <c r="C31" s="11" t="n">
        <v>0.06</v>
      </c>
      <c r="D31" s="11" t="n">
        <v>0.04</v>
      </c>
    </row>
    <row r="33" customFormat="false" ht="15" hidden="false" customHeight="false" outlineLevel="0" collapsed="false">
      <c r="A33" s="7" t="s">
        <v>66</v>
      </c>
      <c r="B33" s="8"/>
      <c r="C33" s="8"/>
      <c r="D33" s="8"/>
      <c r="E33" s="8"/>
      <c r="F33" s="8"/>
    </row>
    <row r="34" customFormat="false" ht="15" hidden="false" customHeight="false" outlineLevel="0" collapsed="false">
      <c r="A34" s="3" t="s">
        <v>67</v>
      </c>
      <c r="B34" s="11" t="n">
        <v>0.27</v>
      </c>
      <c r="C34" s="2" t="s">
        <v>68</v>
      </c>
    </row>
    <row r="35" customFormat="false" ht="15" hidden="false" customHeight="false" outlineLevel="0" collapsed="false">
      <c r="A35" s="3" t="s">
        <v>69</v>
      </c>
      <c r="B35" s="11" t="n">
        <v>0.01</v>
      </c>
      <c r="C35" s="2" t="s">
        <v>70</v>
      </c>
    </row>
    <row r="36" customFormat="false" ht="15" hidden="false" customHeight="false" outlineLevel="0" collapsed="false">
      <c r="A36" s="3" t="s">
        <v>71</v>
      </c>
      <c r="B36" s="11" t="n">
        <v>0.01</v>
      </c>
    </row>
    <row r="37" customFormat="false" ht="15" hidden="false" customHeight="false" outlineLevel="0" collapsed="false">
      <c r="A37" s="3" t="s">
        <v>72</v>
      </c>
      <c r="B37" s="11" t="n">
        <v>0.01</v>
      </c>
    </row>
    <row r="39" customFormat="false" ht="15" hidden="false" customHeight="false" outlineLevel="0" collapsed="false">
      <c r="A39" s="7" t="s">
        <v>73</v>
      </c>
      <c r="B39" s="8"/>
      <c r="C39" s="8"/>
      <c r="D39" s="8"/>
      <c r="E39" s="8"/>
      <c r="F39" s="8"/>
    </row>
    <row r="40" customFormat="false" ht="15" hidden="false" customHeight="false" outlineLevel="0" collapsed="false">
      <c r="A40" s="3" t="s">
        <v>74</v>
      </c>
      <c r="B40" s="10" t="n">
        <v>60000</v>
      </c>
      <c r="C40" s="2" t="s">
        <v>75</v>
      </c>
    </row>
    <row r="41" customFormat="false" ht="15" hidden="false" customHeight="false" outlineLevel="0" collapsed="false">
      <c r="A41" s="3" t="s">
        <v>76</v>
      </c>
      <c r="B41" s="10" t="n">
        <v>6000</v>
      </c>
    </row>
    <row r="42" customFormat="false" ht="15" hidden="false" customHeight="false" outlineLevel="0" collapsed="false">
      <c r="A42" s="3" t="s">
        <v>77</v>
      </c>
      <c r="B42" s="10" t="n">
        <v>2000</v>
      </c>
    </row>
    <row r="43" customFormat="false" ht="15" hidden="false" customHeight="false" outlineLevel="0" collapsed="false">
      <c r="A43" s="3" t="s">
        <v>78</v>
      </c>
      <c r="B43" s="10" t="n">
        <v>18000</v>
      </c>
    </row>
    <row r="44" customFormat="false" ht="15" hidden="false" customHeight="false" outlineLevel="0" collapsed="false">
      <c r="A44" s="3" t="s">
        <v>79</v>
      </c>
      <c r="B44" s="10" t="n">
        <v>2500</v>
      </c>
    </row>
    <row r="45" customFormat="false" ht="15" hidden="false" customHeight="false" outlineLevel="0" collapsed="false">
      <c r="A45" s="3" t="s">
        <v>80</v>
      </c>
      <c r="B45" s="10" t="n">
        <v>3000</v>
      </c>
    </row>
    <row r="46" customFormat="false" ht="15" hidden="false" customHeight="false" outlineLevel="0" collapsed="false">
      <c r="A46" s="3" t="s">
        <v>81</v>
      </c>
      <c r="B46" s="10" t="n">
        <v>3000</v>
      </c>
    </row>
    <row r="47" customFormat="false" ht="15" hidden="false" customHeight="false" outlineLevel="0" collapsed="false">
      <c r="A47" s="3" t="s">
        <v>82</v>
      </c>
      <c r="B47" s="10" t="n">
        <v>2000</v>
      </c>
    </row>
    <row r="48" customFormat="false" ht="15" hidden="false" customHeight="false" outlineLevel="0" collapsed="false">
      <c r="A48" s="3" t="s">
        <v>83</v>
      </c>
      <c r="B48" s="10" t="n">
        <v>7200</v>
      </c>
    </row>
    <row r="49" customFormat="false" ht="15" hidden="false" customHeight="false" outlineLevel="0" collapsed="false">
      <c r="A49" s="3" t="s">
        <v>84</v>
      </c>
      <c r="B49" s="11" t="n">
        <v>0.01</v>
      </c>
    </row>
    <row r="50" customFormat="false" ht="15" hidden="false" customHeight="false" outlineLevel="0" collapsed="false">
      <c r="A50" s="3" t="s">
        <v>85</v>
      </c>
      <c r="B50" s="11" t="n">
        <v>0.02</v>
      </c>
      <c r="C50" s="2" t="s">
        <v>86</v>
      </c>
    </row>
    <row r="52" customFormat="false" ht="15" hidden="false" customHeight="false" outlineLevel="0" collapsed="false">
      <c r="A52" s="7" t="s">
        <v>87</v>
      </c>
      <c r="B52" s="8"/>
      <c r="C52" s="8"/>
      <c r="D52" s="8"/>
      <c r="E52" s="8"/>
      <c r="F52" s="8"/>
    </row>
    <row r="53" customFormat="false" ht="15" hidden="false" customHeight="false" outlineLevel="0" collapsed="false">
      <c r="A53" s="9" t="s">
        <v>88</v>
      </c>
      <c r="B53" s="9" t="s">
        <v>89</v>
      </c>
      <c r="C53" s="9" t="s">
        <v>90</v>
      </c>
    </row>
    <row r="54" customFormat="false" ht="15" hidden="false" customHeight="false" outlineLevel="0" collapsed="false">
      <c r="A54" s="5" t="s">
        <v>91</v>
      </c>
      <c r="B54" s="10" t="n">
        <v>3200</v>
      </c>
      <c r="C54" s="13" t="n">
        <v>1</v>
      </c>
    </row>
    <row r="55" customFormat="false" ht="15" hidden="false" customHeight="false" outlineLevel="0" collapsed="false">
      <c r="A55" s="5" t="s">
        <v>92</v>
      </c>
      <c r="B55" s="10" t="n">
        <v>3800</v>
      </c>
      <c r="C55" s="13" t="n">
        <v>1</v>
      </c>
    </row>
    <row r="56" customFormat="false" ht="15" hidden="false" customHeight="false" outlineLevel="0" collapsed="false">
      <c r="A56" s="5" t="s">
        <v>93</v>
      </c>
      <c r="B56" s="10" t="n">
        <v>2800</v>
      </c>
      <c r="C56" s="13" t="n">
        <v>1</v>
      </c>
    </row>
    <row r="57" customFormat="false" ht="15" hidden="false" customHeight="false" outlineLevel="0" collapsed="false">
      <c r="A57" s="5" t="s">
        <v>94</v>
      </c>
      <c r="B57" s="10" t="n">
        <v>2200</v>
      </c>
      <c r="C57" s="13" t="n">
        <v>2</v>
      </c>
    </row>
    <row r="58" customFormat="false" ht="15" hidden="false" customHeight="false" outlineLevel="0" collapsed="false">
      <c r="A58" s="5" t="s">
        <v>95</v>
      </c>
      <c r="B58" s="10" t="n">
        <v>2400</v>
      </c>
      <c r="C58" s="13" t="n">
        <v>2</v>
      </c>
    </row>
    <row r="59" customFormat="false" ht="15" hidden="false" customHeight="false" outlineLevel="0" collapsed="false">
      <c r="A59" s="5" t="s">
        <v>96</v>
      </c>
      <c r="B59" s="10" t="n">
        <v>1900</v>
      </c>
      <c r="C59" s="13" t="n">
        <v>1</v>
      </c>
    </row>
    <row r="60" customFormat="false" ht="15" hidden="false" customHeight="false" outlineLevel="0" collapsed="false">
      <c r="A60" s="4" t="s">
        <v>97</v>
      </c>
      <c r="B60" s="17" t="n">
        <f aca="false">SUMPRODUCT(B54:B59,C54:C59)</f>
        <v>20900</v>
      </c>
      <c r="C60" s="18" t="n">
        <f aca="false">SUM(C54:C59)</f>
        <v>8</v>
      </c>
    </row>
    <row r="61" customFormat="false" ht="15" hidden="false" customHeight="false" outlineLevel="0" collapsed="false">
      <c r="A61" s="3" t="s">
        <v>98</v>
      </c>
      <c r="B61" s="11" t="n">
        <v>0.42</v>
      </c>
    </row>
    <row r="62" customFormat="false" ht="15" hidden="false" customHeight="false" outlineLevel="0" collapsed="false">
      <c r="A62" s="3" t="s">
        <v>99</v>
      </c>
      <c r="B62" s="11" t="n">
        <v>0.02</v>
      </c>
    </row>
    <row r="64" customFormat="false" ht="15" hidden="false" customHeight="false" outlineLevel="0" collapsed="false">
      <c r="A64" s="7" t="s">
        <v>100</v>
      </c>
      <c r="B64" s="8"/>
      <c r="C64" s="8"/>
      <c r="D64" s="8"/>
      <c r="E64" s="8"/>
      <c r="F64" s="8"/>
    </row>
    <row r="65" customFormat="false" ht="15" hidden="false" customHeight="false" outlineLevel="0" collapsed="false">
      <c r="A65" s="3" t="s">
        <v>101</v>
      </c>
      <c r="B65" s="11" t="n">
        <v>0.012</v>
      </c>
      <c r="C65" s="2" t="s">
        <v>102</v>
      </c>
    </row>
    <row r="66" customFormat="false" ht="15" hidden="false" customHeight="false" outlineLevel="0" collapsed="false">
      <c r="A66" s="3" t="s">
        <v>103</v>
      </c>
      <c r="B66" s="11" t="n">
        <v>0.25</v>
      </c>
    </row>
    <row r="68" customFormat="false" ht="15" hidden="false" customHeight="false" outlineLevel="0" collapsed="false">
      <c r="A68" s="7" t="s">
        <v>104</v>
      </c>
      <c r="B68" s="8"/>
      <c r="C68" s="8"/>
      <c r="D68" s="8"/>
      <c r="E68" s="8"/>
      <c r="F68" s="8"/>
    </row>
    <row r="69" customFormat="false" ht="15" hidden="false" customHeight="false" outlineLevel="0" collapsed="false">
      <c r="A69" s="3" t="s">
        <v>105</v>
      </c>
      <c r="B69" s="13" t="n">
        <v>40</v>
      </c>
    </row>
    <row r="70" customFormat="false" ht="15" hidden="false" customHeight="false" outlineLevel="0" collapsed="false">
      <c r="A70" s="3" t="s">
        <v>106</v>
      </c>
      <c r="B70" s="13" t="n">
        <v>90</v>
      </c>
    </row>
    <row r="71" customFormat="false" ht="15" hidden="false" customHeight="false" outlineLevel="0" collapsed="false">
      <c r="A71" s="3" t="s">
        <v>107</v>
      </c>
      <c r="B71" s="13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14" min="2" style="0" width="11"/>
  </cols>
  <sheetData>
    <row r="1" customFormat="false" ht="17.35" hidden="false" customHeight="false" outlineLevel="0" collapsed="false">
      <c r="A1" s="1" t="s">
        <v>108</v>
      </c>
    </row>
    <row r="3" customFormat="false" ht="15" hidden="false" customHeight="false" outlineLevel="0" collapsed="false">
      <c r="A3" s="7" t="s">
        <v>109</v>
      </c>
      <c r="B3" s="8"/>
      <c r="C3" s="8"/>
      <c r="D3" s="8"/>
      <c r="E3" s="8"/>
      <c r="F3" s="8"/>
    </row>
    <row r="4" customFormat="false" ht="15" hidden="false" customHeight="false" outlineLevel="0" collapsed="false">
      <c r="B4" s="9" t="s">
        <v>25</v>
      </c>
      <c r="C4" s="9" t="s">
        <v>26</v>
      </c>
      <c r="D4" s="9" t="s">
        <v>27</v>
      </c>
      <c r="E4" s="9" t="s">
        <v>110</v>
      </c>
    </row>
    <row r="5" customFormat="false" ht="15" hidden="false" customHeight="false" outlineLevel="0" collapsed="false">
      <c r="A5" s="3" t="s">
        <v>31</v>
      </c>
      <c r="B5" s="19" t="n">
        <f aca="false">Assumptions!B7</f>
        <v>21.6216216216216</v>
      </c>
      <c r="C5" s="19" t="n">
        <f aca="false">Assumptions!C7</f>
        <v>36.8421052631579</v>
      </c>
      <c r="D5" s="19" t="n">
        <f aca="false">Assumptions!D7</f>
        <v>23.6363636363636</v>
      </c>
    </row>
    <row r="6" customFormat="false" ht="15" hidden="false" customHeight="false" outlineLevel="0" collapsed="false">
      <c r="A6" s="3" t="s">
        <v>111</v>
      </c>
      <c r="B6" s="20" t="n">
        <f aca="false">Assumptions!B8</f>
        <v>40</v>
      </c>
      <c r="C6" s="20" t="n">
        <f aca="false">Assumptions!C8</f>
        <v>60</v>
      </c>
      <c r="D6" s="20" t="n">
        <f aca="false">Assumptions!D8</f>
        <v>12</v>
      </c>
    </row>
    <row r="7" customFormat="false" ht="15" hidden="false" customHeight="false" outlineLevel="0" collapsed="false">
      <c r="A7" s="3" t="s">
        <v>112</v>
      </c>
      <c r="B7" s="21" t="n">
        <f aca="false">B5*B6</f>
        <v>864.864864864865</v>
      </c>
      <c r="C7" s="21" t="n">
        <f aca="false">C5*C6</f>
        <v>2210.52631578947</v>
      </c>
      <c r="D7" s="21" t="n">
        <f aca="false">D5*D6</f>
        <v>283.636363636364</v>
      </c>
      <c r="E7" s="22" t="n">
        <f aca="false">SUM(B7:D7)</f>
        <v>3359.0275442907</v>
      </c>
    </row>
    <row r="9" customFormat="false" ht="15" hidden="false" customHeight="false" outlineLevel="0" collapsed="false">
      <c r="A9" s="7" t="s">
        <v>113</v>
      </c>
      <c r="B9" s="8"/>
      <c r="C9" s="8"/>
      <c r="D9" s="8"/>
      <c r="E9" s="8"/>
      <c r="F9" s="8"/>
    </row>
    <row r="10" customFormat="false" ht="15" hidden="false" customHeight="false" outlineLevel="0" collapsed="false">
      <c r="A10" s="3" t="s">
        <v>114</v>
      </c>
      <c r="B10" s="23" t="n">
        <f aca="false">Assumptions!B19</f>
        <v>6</v>
      </c>
      <c r="C10" s="23" t="n">
        <f aca="false">Assumptions!C19</f>
        <v>6.8</v>
      </c>
      <c r="D10" s="23" t="n">
        <f aca="false">Assumptions!D19</f>
        <v>5.6</v>
      </c>
    </row>
    <row r="11" customFormat="false" ht="15" hidden="false" customHeight="false" outlineLevel="0" collapsed="false">
      <c r="A11" s="3" t="s">
        <v>115</v>
      </c>
      <c r="B11" s="21" t="n">
        <f aca="false">B7*B10</f>
        <v>5189.18918918919</v>
      </c>
      <c r="C11" s="21" t="n">
        <f aca="false">C7*C10</f>
        <v>15031.5789473684</v>
      </c>
      <c r="D11" s="21" t="n">
        <f aca="false">D7*D10</f>
        <v>1588.36363636364</v>
      </c>
      <c r="E11" s="21" t="n">
        <f aca="false">SUM(B11:D11)</f>
        <v>21809.1317729212</v>
      </c>
    </row>
    <row r="12" customFormat="false" ht="15" hidden="false" customHeight="false" outlineLevel="0" collapsed="false">
      <c r="A12" s="3" t="s">
        <v>116</v>
      </c>
      <c r="B12" s="21" t="n">
        <f aca="false">B11*Assumptions!$B$22</f>
        <v>22469.1891891892</v>
      </c>
      <c r="C12" s="21" t="n">
        <f aca="false">C11*Assumptions!$B$22</f>
        <v>65086.7368421053</v>
      </c>
      <c r="D12" s="21" t="n">
        <f aca="false">D11*Assumptions!$B$22</f>
        <v>6877.61454545455</v>
      </c>
      <c r="E12" s="21" t="n">
        <f aca="false">SUM(B12:D12)</f>
        <v>94433.540576749</v>
      </c>
    </row>
    <row r="13" customFormat="false" ht="15" hidden="false" customHeight="false" outlineLevel="0" collapsed="false">
      <c r="A13" s="4" t="s">
        <v>117</v>
      </c>
      <c r="B13" s="17" t="n">
        <f aca="false">B12*Assumptions!$B$23</f>
        <v>235926.486486486</v>
      </c>
      <c r="C13" s="17" t="n">
        <f aca="false">C12*Assumptions!$B$23</f>
        <v>683410.736842105</v>
      </c>
      <c r="D13" s="17" t="n">
        <f aca="false">D12*Assumptions!$B$23</f>
        <v>72214.9527272727</v>
      </c>
      <c r="E13" s="17" t="n">
        <f aca="false">SUM(B13:D13)</f>
        <v>991552.176055864</v>
      </c>
    </row>
    <row r="15" customFormat="false" ht="15" hidden="false" customHeight="false" outlineLevel="0" collapsed="false">
      <c r="A15" s="7" t="s">
        <v>118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customFormat="false" ht="15" hidden="false" customHeight="false" outlineLevel="0" collapsed="false">
      <c r="B16" s="9" t="s">
        <v>48</v>
      </c>
      <c r="C16" s="9" t="s">
        <v>49</v>
      </c>
      <c r="D16" s="9" t="s">
        <v>50</v>
      </c>
      <c r="E16" s="9" t="s">
        <v>51</v>
      </c>
      <c r="F16" s="9" t="s">
        <v>52</v>
      </c>
      <c r="G16" s="9" t="s">
        <v>53</v>
      </c>
      <c r="H16" s="9" t="s">
        <v>54</v>
      </c>
      <c r="I16" s="9" t="s">
        <v>55</v>
      </c>
      <c r="J16" s="9" t="s">
        <v>56</v>
      </c>
      <c r="K16" s="9" t="s">
        <v>57</v>
      </c>
      <c r="L16" s="9" t="s">
        <v>58</v>
      </c>
      <c r="M16" s="9" t="s">
        <v>59</v>
      </c>
      <c r="N16" s="9" t="s">
        <v>110</v>
      </c>
    </row>
    <row r="17" customFormat="false" ht="15" hidden="false" customHeight="false" outlineLevel="0" collapsed="false">
      <c r="A17" s="3" t="s">
        <v>60</v>
      </c>
      <c r="B17" s="24" t="n">
        <f aca="false">Assumptions!B27</f>
        <v>-0.5</v>
      </c>
      <c r="C17" s="24" t="n">
        <f aca="false">Assumptions!C27</f>
        <v>-0.4</v>
      </c>
      <c r="D17" s="24" t="n">
        <f aca="false">Assumptions!D27</f>
        <v>-0.35</v>
      </c>
      <c r="E17" s="24" t="n">
        <f aca="false">Assumptions!E27</f>
        <v>-0.3</v>
      </c>
      <c r="F17" s="24" t="n">
        <f aca="false">Assumptions!F27</f>
        <v>-0.25</v>
      </c>
      <c r="G17" s="24" t="n">
        <f aca="false">Assumptions!G27</f>
        <v>-0.2</v>
      </c>
      <c r="H17" s="24" t="n">
        <f aca="false">Assumptions!H27</f>
        <v>-0.15</v>
      </c>
      <c r="I17" s="24" t="n">
        <f aca="false">Assumptions!I27</f>
        <v>-0.1</v>
      </c>
      <c r="J17" s="24" t="n">
        <f aca="false">Assumptions!J27</f>
        <v>-0.1</v>
      </c>
      <c r="K17" s="24" t="n">
        <f aca="false">Assumptions!K27</f>
        <v>-0.05</v>
      </c>
      <c r="L17" s="24" t="n">
        <f aca="false">Assumptions!L27</f>
        <v>-0.05</v>
      </c>
      <c r="M17" s="24" t="n">
        <f aca="false">Assumptions!M27</f>
        <v>0</v>
      </c>
    </row>
    <row r="18" customFormat="false" ht="15" hidden="false" customHeight="false" outlineLevel="0" collapsed="false">
      <c r="A18" s="3" t="s">
        <v>25</v>
      </c>
      <c r="B18" s="21" t="n">
        <f aca="false">$B$12*(1+B$17)</f>
        <v>11234.5945945946</v>
      </c>
      <c r="C18" s="21" t="n">
        <f aca="false">$B$12*(1+C$17)</f>
        <v>13481.5135135135</v>
      </c>
      <c r="D18" s="21" t="n">
        <f aca="false">$B$12*(1+D$17)</f>
        <v>14604.972972973</v>
      </c>
      <c r="E18" s="21" t="n">
        <f aca="false">$B$12*(1+E$17)</f>
        <v>15728.4324324324</v>
      </c>
      <c r="F18" s="21" t="n">
        <f aca="false">$B$12*(1+F$17)</f>
        <v>16851.8918918919</v>
      </c>
      <c r="G18" s="21" t="n">
        <f aca="false">$B$12*(1+G$17)</f>
        <v>17975.3513513514</v>
      </c>
      <c r="H18" s="21" t="n">
        <f aca="false">$B$12*(1+H$17)</f>
        <v>19098.8108108108</v>
      </c>
      <c r="I18" s="21" t="n">
        <f aca="false">$B$12*(1+I$17)</f>
        <v>20222.2702702703</v>
      </c>
      <c r="J18" s="21" t="n">
        <f aca="false">$B$12*(1+J$17)</f>
        <v>20222.2702702703</v>
      </c>
      <c r="K18" s="21" t="n">
        <f aca="false">$B$12*(1+K$17)</f>
        <v>21345.7297297297</v>
      </c>
      <c r="L18" s="21" t="n">
        <f aca="false">$B$12*(1+L$17)</f>
        <v>21345.7297297297</v>
      </c>
      <c r="M18" s="21" t="n">
        <f aca="false">$B$12*(1+M$17)</f>
        <v>22469.1891891892</v>
      </c>
      <c r="N18" s="21" t="n">
        <f aca="false">SUM(B18:M18)</f>
        <v>214580.756756757</v>
      </c>
    </row>
    <row r="19" customFormat="false" ht="15" hidden="false" customHeight="false" outlineLevel="0" collapsed="false">
      <c r="A19" s="3" t="s">
        <v>26</v>
      </c>
      <c r="B19" s="21" t="n">
        <f aca="false">$C$12*(1+B$17)</f>
        <v>32543.3684210526</v>
      </c>
      <c r="C19" s="21" t="n">
        <f aca="false">$C$12*(1+C$17)</f>
        <v>39052.0421052632</v>
      </c>
      <c r="D19" s="21" t="n">
        <f aca="false">$C$12*(1+D$17)</f>
        <v>42306.3789473684</v>
      </c>
      <c r="E19" s="21" t="n">
        <f aca="false">$C$12*(1+E$17)</f>
        <v>45560.7157894737</v>
      </c>
      <c r="F19" s="21" t="n">
        <f aca="false">$C$12*(1+F$17)</f>
        <v>48815.0526315789</v>
      </c>
      <c r="G19" s="21" t="n">
        <f aca="false">$C$12*(1+G$17)</f>
        <v>52069.3894736842</v>
      </c>
      <c r="H19" s="21" t="n">
        <f aca="false">$C$12*(1+H$17)</f>
        <v>55323.7263157895</v>
      </c>
      <c r="I19" s="21" t="n">
        <f aca="false">$C$12*(1+I$17)</f>
        <v>58578.0631578947</v>
      </c>
      <c r="J19" s="21" t="n">
        <f aca="false">$C$12*(1+J$17)</f>
        <v>58578.0631578947</v>
      </c>
      <c r="K19" s="21" t="n">
        <f aca="false">$C$12*(1+K$17)</f>
        <v>61832.4</v>
      </c>
      <c r="L19" s="21" t="n">
        <f aca="false">$C$12*(1+L$17)</f>
        <v>61832.4</v>
      </c>
      <c r="M19" s="21" t="n">
        <f aca="false">$C$12*(1+M$17)</f>
        <v>65086.7368421053</v>
      </c>
      <c r="N19" s="21" t="n">
        <f aca="false">SUM(B19:M19)</f>
        <v>621578.336842105</v>
      </c>
    </row>
    <row r="20" customFormat="false" ht="15" hidden="false" customHeight="false" outlineLevel="0" collapsed="false">
      <c r="A20" s="3" t="s">
        <v>27</v>
      </c>
      <c r="B20" s="21" t="n">
        <f aca="false">$D$12*(1+B$17)</f>
        <v>3438.80727272727</v>
      </c>
      <c r="C20" s="21" t="n">
        <f aca="false">$D$12*(1+C$17)</f>
        <v>4126.56872727273</v>
      </c>
      <c r="D20" s="21" t="n">
        <f aca="false">$D$12*(1+D$17)</f>
        <v>4470.44945454545</v>
      </c>
      <c r="E20" s="21" t="n">
        <f aca="false">$D$12*(1+E$17)</f>
        <v>4814.33018181818</v>
      </c>
      <c r="F20" s="21" t="n">
        <f aca="false">$D$12*(1+F$17)</f>
        <v>5158.21090909091</v>
      </c>
      <c r="G20" s="21" t="n">
        <f aca="false">$D$12*(1+G$17)</f>
        <v>5502.09163636364</v>
      </c>
      <c r="H20" s="21" t="n">
        <f aca="false">$D$12*(1+H$17)</f>
        <v>5845.97236363636</v>
      </c>
      <c r="I20" s="21" t="n">
        <f aca="false">$D$12*(1+I$17)</f>
        <v>6189.85309090909</v>
      </c>
      <c r="J20" s="21" t="n">
        <f aca="false">$D$12*(1+J$17)</f>
        <v>6189.85309090909</v>
      </c>
      <c r="K20" s="21" t="n">
        <f aca="false">$D$12*(1+K$17)</f>
        <v>6533.73381818182</v>
      </c>
      <c r="L20" s="21" t="n">
        <f aca="false">$D$12*(1+L$17)</f>
        <v>6533.73381818182</v>
      </c>
      <c r="M20" s="21" t="n">
        <f aca="false">$D$12*(1+M$17)</f>
        <v>6877.61454545455</v>
      </c>
      <c r="N20" s="21" t="n">
        <f aca="false">SUM(B20:M20)</f>
        <v>65681.2189090909</v>
      </c>
    </row>
    <row r="21" customFormat="false" ht="15" hidden="false" customHeight="false" outlineLevel="0" collapsed="false">
      <c r="A21" s="4" t="s">
        <v>119</v>
      </c>
      <c r="B21" s="17" t="n">
        <f aca="false">SUM(B18:B20)</f>
        <v>47216.7702883745</v>
      </c>
      <c r="C21" s="17" t="n">
        <f aca="false">SUM(C18:C20)</f>
        <v>56660.1243460494</v>
      </c>
      <c r="D21" s="17" t="n">
        <f aca="false">SUM(D18:D20)</f>
        <v>61381.8013748868</v>
      </c>
      <c r="E21" s="17" t="n">
        <f aca="false">SUM(E18:E20)</f>
        <v>66103.4784037243</v>
      </c>
      <c r="F21" s="17" t="n">
        <f aca="false">SUM(F18:F20)</f>
        <v>70825.1554325617</v>
      </c>
      <c r="G21" s="17" t="n">
        <f aca="false">SUM(G18:G20)</f>
        <v>75546.8324613992</v>
      </c>
      <c r="H21" s="17" t="n">
        <f aca="false">SUM(H18:H20)</f>
        <v>80268.5094902366</v>
      </c>
      <c r="I21" s="17" t="n">
        <f aca="false">SUM(I18:I20)</f>
        <v>84990.1865190741</v>
      </c>
      <c r="J21" s="17" t="n">
        <f aca="false">SUM(J18:J20)</f>
        <v>84990.1865190741</v>
      </c>
      <c r="K21" s="17" t="n">
        <f aca="false">SUM(K18:K20)</f>
        <v>89711.8635479115</v>
      </c>
      <c r="L21" s="17" t="n">
        <f aca="false">SUM(L18:L20)</f>
        <v>89711.8635479115</v>
      </c>
      <c r="M21" s="17" t="n">
        <f aca="false">SUM(M18:M20)</f>
        <v>94433.540576749</v>
      </c>
      <c r="N21" s="17" t="n">
        <f aca="false">SUM(B21:M21)</f>
        <v>901840.312507953</v>
      </c>
    </row>
    <row r="23" customFormat="false" ht="15" hidden="false" customHeight="false" outlineLevel="0" collapsed="false">
      <c r="A23" s="4" t="s">
        <v>120</v>
      </c>
      <c r="B23" s="25" t="n">
        <f aca="false">N21*(Assumptions!$B$23/12)</f>
        <v>789110.273444459</v>
      </c>
      <c r="D23" s="2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3"/>
    <col collapsed="false" customWidth="true" hidden="false" outlineLevel="0" max="4" min="4" style="0" width="15"/>
    <col collapsed="false" customWidth="true" hidden="false" outlineLevel="0" max="5" min="5" style="0" width="55"/>
  </cols>
  <sheetData>
    <row r="1" customFormat="false" ht="17.35" hidden="false" customHeight="false" outlineLevel="0" collapsed="false">
      <c r="A1" s="1" t="s">
        <v>122</v>
      </c>
    </row>
    <row r="3" customFormat="false" ht="15" hidden="false" customHeight="false" outlineLevel="0" collapsed="false">
      <c r="A3" s="7" t="s">
        <v>123</v>
      </c>
      <c r="B3" s="8"/>
      <c r="C3" s="8"/>
      <c r="D3" s="8"/>
      <c r="E3" s="8"/>
    </row>
    <row r="4" customFormat="false" ht="15" hidden="false" customHeight="false" outlineLevel="0" collapsed="false">
      <c r="A4" s="9" t="s">
        <v>124</v>
      </c>
      <c r="B4" s="9" t="s">
        <v>125</v>
      </c>
      <c r="C4" s="9" t="s">
        <v>126</v>
      </c>
      <c r="D4" s="9" t="s">
        <v>127</v>
      </c>
    </row>
    <row r="5" customFormat="false" ht="15" hidden="false" customHeight="false" outlineLevel="0" collapsed="false">
      <c r="A5" s="5" t="s">
        <v>128</v>
      </c>
      <c r="B5" s="10" t="n">
        <v>120000</v>
      </c>
      <c r="C5" s="13" t="n">
        <v>8</v>
      </c>
      <c r="D5" s="21" t="n">
        <f aca="false">B5/C5</f>
        <v>15000</v>
      </c>
      <c r="E5" s="2" t="s">
        <v>129</v>
      </c>
    </row>
    <row r="6" customFormat="false" ht="15" hidden="false" customHeight="false" outlineLevel="0" collapsed="false">
      <c r="A6" s="5" t="s">
        <v>130</v>
      </c>
      <c r="B6" s="10" t="n">
        <v>60000</v>
      </c>
      <c r="C6" s="13" t="n">
        <v>5</v>
      </c>
      <c r="D6" s="21" t="n">
        <f aca="false">B6/C6</f>
        <v>12000</v>
      </c>
      <c r="E6" s="2" t="s">
        <v>131</v>
      </c>
    </row>
    <row r="7" customFormat="false" ht="15" hidden="false" customHeight="false" outlineLevel="0" collapsed="false">
      <c r="A7" s="5" t="s">
        <v>132</v>
      </c>
      <c r="B7" s="10" t="n">
        <v>30000</v>
      </c>
      <c r="C7" s="13" t="n">
        <v>5</v>
      </c>
      <c r="D7" s="21" t="n">
        <f aca="false">B7/C7</f>
        <v>6000</v>
      </c>
    </row>
    <row r="8" customFormat="false" ht="15" hidden="false" customHeight="false" outlineLevel="0" collapsed="false">
      <c r="A8" s="5" t="s">
        <v>133</v>
      </c>
      <c r="B8" s="10" t="n">
        <v>10000</v>
      </c>
      <c r="C8" s="13" t="n">
        <v>5</v>
      </c>
      <c r="D8" s="21" t="n">
        <f aca="false">B8/C8</f>
        <v>2000</v>
      </c>
    </row>
    <row r="9" customFormat="false" ht="15" hidden="false" customHeight="false" outlineLevel="0" collapsed="false">
      <c r="A9" s="4" t="s">
        <v>134</v>
      </c>
      <c r="B9" s="17" t="n">
        <f aca="false">SUM(B5:B8)</f>
        <v>220000</v>
      </c>
      <c r="D9" s="17" t="n">
        <f aca="false">SUM(D5:D8)</f>
        <v>35000</v>
      </c>
    </row>
    <row r="11" customFormat="false" ht="15" hidden="false" customHeight="false" outlineLevel="0" collapsed="false">
      <c r="A11" s="7" t="s">
        <v>135</v>
      </c>
      <c r="B11" s="8"/>
      <c r="C11" s="8"/>
      <c r="D11" s="8"/>
      <c r="E11" s="8"/>
    </row>
    <row r="12" customFormat="false" ht="15" hidden="false" customHeight="false" outlineLevel="0" collapsed="false">
      <c r="A12" s="5" t="s">
        <v>136</v>
      </c>
      <c r="B12" s="10" t="n">
        <v>150000</v>
      </c>
      <c r="E12" s="2" t="s">
        <v>137</v>
      </c>
    </row>
    <row r="13" customFormat="false" ht="15" hidden="false" customHeight="false" outlineLevel="0" collapsed="false">
      <c r="A13" s="5" t="s">
        <v>138</v>
      </c>
      <c r="B13" s="10" t="n">
        <v>15000</v>
      </c>
    </row>
    <row r="14" customFormat="false" ht="15" hidden="false" customHeight="false" outlineLevel="0" collapsed="false">
      <c r="A14" s="4" t="s">
        <v>139</v>
      </c>
      <c r="B14" s="17" t="n">
        <f aca="false">SUM(B12:B13)</f>
        <v>165000</v>
      </c>
    </row>
    <row r="16" customFormat="false" ht="15" hidden="false" customHeight="false" outlineLevel="0" collapsed="false">
      <c r="A16" s="7" t="s">
        <v>140</v>
      </c>
      <c r="B16" s="8"/>
      <c r="C16" s="8"/>
      <c r="D16" s="8"/>
      <c r="E16" s="8"/>
    </row>
    <row r="17" customFormat="false" ht="15" hidden="false" customHeight="false" outlineLevel="0" collapsed="false">
      <c r="A17" s="5" t="s">
        <v>141</v>
      </c>
      <c r="B17" s="10" t="n">
        <v>12000</v>
      </c>
    </row>
    <row r="18" customFormat="false" ht="15" hidden="false" customHeight="false" outlineLevel="0" collapsed="false">
      <c r="A18" s="5" t="s">
        <v>142</v>
      </c>
      <c r="B18" s="10" t="n">
        <v>7000</v>
      </c>
    </row>
    <row r="19" customFormat="false" ht="15" hidden="false" customHeight="false" outlineLevel="0" collapsed="false">
      <c r="A19" s="5" t="s">
        <v>143</v>
      </c>
      <c r="B19" s="10" t="n">
        <v>15000</v>
      </c>
    </row>
    <row r="20" customFormat="false" ht="15" hidden="false" customHeight="false" outlineLevel="0" collapsed="false">
      <c r="A20" s="4" t="s">
        <v>139</v>
      </c>
      <c r="B20" s="17" t="n">
        <f aca="false">SUM(B17:B19)</f>
        <v>34000</v>
      </c>
    </row>
    <row r="22" customFormat="false" ht="15" hidden="false" customHeight="false" outlineLevel="0" collapsed="false">
      <c r="A22" s="7" t="s">
        <v>144</v>
      </c>
      <c r="B22" s="8"/>
      <c r="C22" s="8"/>
      <c r="D22" s="8"/>
      <c r="E22" s="8"/>
    </row>
    <row r="23" customFormat="false" ht="15" hidden="false" customHeight="false" outlineLevel="0" collapsed="false">
      <c r="A23" s="5" t="s">
        <v>145</v>
      </c>
      <c r="B23" s="10" t="n">
        <v>10000</v>
      </c>
    </row>
    <row r="24" customFormat="false" ht="15" hidden="false" customHeight="false" outlineLevel="0" collapsed="false">
      <c r="A24" s="5" t="s">
        <v>146</v>
      </c>
      <c r="B24" s="10" t="n">
        <v>15000</v>
      </c>
    </row>
    <row r="25" customFormat="false" ht="15" hidden="false" customHeight="false" outlineLevel="0" collapsed="false">
      <c r="A25" s="5" t="s">
        <v>147</v>
      </c>
      <c r="B25" s="10" t="n">
        <v>8000</v>
      </c>
    </row>
    <row r="26" customFormat="false" ht="15" hidden="false" customHeight="false" outlineLevel="0" collapsed="false">
      <c r="A26" s="4" t="s">
        <v>139</v>
      </c>
      <c r="B26" s="17" t="n">
        <f aca="false">SUM(B23:B25)</f>
        <v>33000</v>
      </c>
    </row>
    <row r="28" customFormat="false" ht="15" hidden="false" customHeight="false" outlineLevel="0" collapsed="false">
      <c r="A28" s="7" t="s">
        <v>148</v>
      </c>
      <c r="B28" s="8"/>
      <c r="C28" s="8"/>
      <c r="D28" s="8"/>
      <c r="E28" s="8"/>
    </row>
    <row r="29" customFormat="false" ht="15" hidden="false" customHeight="false" outlineLevel="0" collapsed="false">
      <c r="A29" s="3" t="s">
        <v>149</v>
      </c>
      <c r="B29" s="13" t="n">
        <v>15</v>
      </c>
    </row>
    <row r="30" customFormat="false" ht="15" hidden="false" customHeight="false" outlineLevel="0" collapsed="false">
      <c r="A30" s="3" t="s">
        <v>150</v>
      </c>
      <c r="B30" s="13" t="n">
        <v>2</v>
      </c>
      <c r="E30" s="2" t="s">
        <v>151</v>
      </c>
    </row>
    <row r="31" customFormat="false" ht="15" hidden="false" customHeight="false" outlineLevel="0" collapsed="false">
      <c r="A31" s="3" t="s">
        <v>152</v>
      </c>
      <c r="B31" s="13" t="n">
        <v>20</v>
      </c>
    </row>
    <row r="32" customFormat="false" ht="15" hidden="false" customHeight="false" outlineLevel="0" collapsed="false">
      <c r="A32" s="3" t="s">
        <v>153</v>
      </c>
      <c r="B32" s="26" t="n">
        <f aca="false">Revenue!$E$13*Assumptions!$B$34/365*B29+Revenue!$E$13/365*B30-Revenue!$E$13*Assumptions!$B$34/365*B31</f>
        <v>1765.77784777072</v>
      </c>
      <c r="E32" s="2" t="s">
        <v>154</v>
      </c>
    </row>
    <row r="33" customFormat="false" ht="15" hidden="false" customHeight="false" outlineLevel="0" collapsed="false">
      <c r="A33" s="3" t="s">
        <v>155</v>
      </c>
      <c r="B33" s="13" t="n">
        <v>4</v>
      </c>
      <c r="E33" s="2" t="s">
        <v>156</v>
      </c>
    </row>
    <row r="34" customFormat="false" ht="15" hidden="false" customHeight="false" outlineLevel="0" collapsed="false">
      <c r="A34" s="3" t="s">
        <v>157</v>
      </c>
      <c r="B34" s="26" t="n">
        <f aca="false">B33*(Assumptions!$B$60*(1+Assumptions!$B$61)+(Assumptions!$B$40+SUM(Assumptions!$B$41:$B$48))/12)</f>
        <v>153278.666666667</v>
      </c>
    </row>
    <row r="35" customFormat="false" ht="15" hidden="false" customHeight="false" outlineLevel="0" collapsed="false">
      <c r="A35" s="4" t="s">
        <v>139</v>
      </c>
      <c r="B35" s="17" t="n">
        <f aca="false">MAX(0,B32)+B34</f>
        <v>155044.444514437</v>
      </c>
    </row>
    <row r="37" customFormat="false" ht="15" hidden="false" customHeight="false" outlineLevel="0" collapsed="false">
      <c r="A37" s="4" t="s">
        <v>158</v>
      </c>
      <c r="B37" s="25" t="n">
        <f aca="false">B9+B14+B20+B26+B35</f>
        <v>607044.444514437</v>
      </c>
    </row>
    <row r="39" customFormat="false" ht="15" hidden="false" customHeight="false" outlineLevel="0" collapsed="false">
      <c r="A39" s="7" t="s">
        <v>159</v>
      </c>
      <c r="B39" s="8"/>
      <c r="C39" s="8"/>
      <c r="D39" s="8"/>
      <c r="E39" s="8"/>
    </row>
    <row r="40" customFormat="false" ht="15" hidden="false" customHeight="false" outlineLevel="0" collapsed="false">
      <c r="A40" s="5" t="s">
        <v>160</v>
      </c>
      <c r="B40" s="10" t="n">
        <v>120000</v>
      </c>
      <c r="E40" s="2" t="s">
        <v>161</v>
      </c>
    </row>
    <row r="41" customFormat="false" ht="15" hidden="false" customHeight="false" outlineLevel="0" collapsed="false">
      <c r="A41" s="5" t="s">
        <v>162</v>
      </c>
      <c r="B41" s="10" t="n">
        <v>40000</v>
      </c>
    </row>
    <row r="42" customFormat="false" ht="15" hidden="false" customHeight="false" outlineLevel="0" collapsed="false">
      <c r="A42" s="5" t="s">
        <v>163</v>
      </c>
      <c r="B42" s="10" t="n">
        <v>150000</v>
      </c>
      <c r="E42" s="2" t="s">
        <v>164</v>
      </c>
    </row>
    <row r="43" customFormat="false" ht="15" hidden="false" customHeight="false" outlineLevel="0" collapsed="false">
      <c r="A43" s="3" t="s">
        <v>165</v>
      </c>
      <c r="B43" s="26" t="n">
        <f aca="false">Loan!$B$4</f>
        <v>280000</v>
      </c>
      <c r="E43" s="2" t="s">
        <v>166</v>
      </c>
    </row>
    <row r="44" customFormat="false" ht="15" hidden="false" customHeight="false" outlineLevel="0" collapsed="false">
      <c r="A44" s="5" t="s">
        <v>167</v>
      </c>
      <c r="B44" s="10" t="n">
        <v>20000</v>
      </c>
      <c r="E44" s="2" t="s">
        <v>168</v>
      </c>
    </row>
    <row r="45" customFormat="false" ht="15" hidden="false" customHeight="false" outlineLevel="0" collapsed="false">
      <c r="A45" s="4" t="s">
        <v>169</v>
      </c>
      <c r="B45" s="25" t="n">
        <f aca="false">SUM(B40:B44)</f>
        <v>610000</v>
      </c>
    </row>
    <row r="46" customFormat="false" ht="15" hidden="false" customHeight="false" outlineLevel="0" collapsed="false">
      <c r="A46" s="4" t="s">
        <v>170</v>
      </c>
      <c r="B46" s="22" t="n">
        <f aca="false">B45-B37</f>
        <v>2955.55548556265</v>
      </c>
      <c r="E46" s="2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</cols>
  <sheetData>
    <row r="1" customFormat="false" ht="17.35" hidden="false" customHeight="false" outlineLevel="0" collapsed="false">
      <c r="A1" s="1" t="s">
        <v>172</v>
      </c>
    </row>
    <row r="3" customFormat="false" ht="15" hidden="false" customHeight="false" outlineLevel="0" collapsed="false">
      <c r="A3" s="7" t="s">
        <v>173</v>
      </c>
      <c r="B3" s="8"/>
      <c r="C3" s="8"/>
    </row>
    <row r="4" customFormat="false" ht="15" hidden="false" customHeight="false" outlineLevel="0" collapsed="false">
      <c r="A4" s="3" t="s">
        <v>174</v>
      </c>
      <c r="B4" s="10" t="n">
        <v>280000</v>
      </c>
    </row>
    <row r="5" customFormat="false" ht="15" hidden="false" customHeight="false" outlineLevel="0" collapsed="false">
      <c r="A5" s="3" t="s">
        <v>175</v>
      </c>
      <c r="B5" s="11" t="n">
        <v>0.045</v>
      </c>
    </row>
    <row r="6" customFormat="false" ht="15" hidden="false" customHeight="false" outlineLevel="0" collapsed="false">
      <c r="A6" s="3" t="s">
        <v>176</v>
      </c>
      <c r="B6" s="13" t="n">
        <v>7</v>
      </c>
    </row>
    <row r="7" customFormat="false" ht="15" hidden="false" customHeight="false" outlineLevel="0" collapsed="false">
      <c r="A7" s="3" t="s">
        <v>177</v>
      </c>
      <c r="B7" s="13" t="n">
        <v>12</v>
      </c>
    </row>
    <row r="8" customFormat="false" ht="15" hidden="false" customHeight="false" outlineLevel="0" collapsed="false">
      <c r="A8" s="3" t="s">
        <v>178</v>
      </c>
      <c r="B8" s="13" t="n">
        <v>6</v>
      </c>
      <c r="C8" s="2" t="s">
        <v>179</v>
      </c>
    </row>
    <row r="10" customFormat="false" ht="15" hidden="false" customHeight="false" outlineLevel="0" collapsed="false">
      <c r="A10" s="7" t="s">
        <v>180</v>
      </c>
      <c r="B10" s="8"/>
      <c r="C10" s="8"/>
    </row>
    <row r="11" customFormat="false" ht="15" hidden="false" customHeight="false" outlineLevel="0" collapsed="false">
      <c r="A11" s="3" t="s">
        <v>181</v>
      </c>
      <c r="B11" s="27" t="n">
        <f aca="false">B5/B7</f>
        <v>0.00375</v>
      </c>
    </row>
    <row r="12" customFormat="false" ht="15" hidden="false" customHeight="false" outlineLevel="0" collapsed="false">
      <c r="A12" s="3" t="s">
        <v>182</v>
      </c>
      <c r="B12" s="28" t="n">
        <f aca="false">B6*B7</f>
        <v>84</v>
      </c>
    </row>
    <row r="13" customFormat="false" ht="15" hidden="false" customHeight="false" outlineLevel="0" collapsed="false">
      <c r="A13" s="3" t="s">
        <v>183</v>
      </c>
      <c r="B13" s="12" t="n">
        <f aca="false">B4*B11</f>
        <v>1050</v>
      </c>
    </row>
    <row r="14" customFormat="false" ht="15" hidden="false" customHeight="false" outlineLevel="0" collapsed="false">
      <c r="A14" s="3" t="s">
        <v>184</v>
      </c>
      <c r="B14" s="12" t="n">
        <f aca="false">B4*B11/(1-(1+B11)^-(B12-B8))</f>
        <v>4146.97982426132</v>
      </c>
    </row>
    <row r="15" customFormat="false" ht="15" hidden="false" customHeight="false" outlineLevel="0" collapsed="false">
      <c r="A15" s="3" t="s">
        <v>185</v>
      </c>
      <c r="B15" s="21" t="n">
        <f aca="false">SUM(D19:D102)</f>
        <v>49764.4262923759</v>
      </c>
    </row>
    <row r="17" customFormat="false" ht="15" hidden="false" customHeight="false" outlineLevel="0" collapsed="false">
      <c r="A17" s="7" t="s">
        <v>186</v>
      </c>
      <c r="B17" s="8"/>
      <c r="C17" s="8"/>
      <c r="D17" s="8"/>
      <c r="E17" s="8"/>
      <c r="F17" s="8"/>
      <c r="G17" s="8"/>
    </row>
    <row r="18" customFormat="false" ht="15" hidden="false" customHeight="false" outlineLevel="0" collapsed="false">
      <c r="A18" s="9" t="s">
        <v>187</v>
      </c>
      <c r="B18" s="9" t="s">
        <v>188</v>
      </c>
      <c r="C18" s="9" t="s">
        <v>189</v>
      </c>
      <c r="D18" s="9" t="s">
        <v>190</v>
      </c>
      <c r="E18" s="9" t="s">
        <v>174</v>
      </c>
      <c r="F18" s="9" t="s">
        <v>191</v>
      </c>
      <c r="G18" s="9" t="s">
        <v>192</v>
      </c>
    </row>
    <row r="19" customFormat="false" ht="15" hidden="false" customHeight="false" outlineLevel="0" collapsed="false">
      <c r="A19" s="28" t="n">
        <v>1</v>
      </c>
      <c r="B19" s="21" t="n">
        <f aca="false">$B$4</f>
        <v>280000</v>
      </c>
      <c r="C19" s="21" t="n">
        <f aca="false">IF(A19&lt;=$B$8,$B$13,$B$14)</f>
        <v>1050</v>
      </c>
      <c r="D19" s="21" t="n">
        <f aca="false">B19*$B$11</f>
        <v>1050</v>
      </c>
      <c r="E19" s="21" t="n">
        <f aca="false">C19-D19</f>
        <v>0</v>
      </c>
      <c r="F19" s="21" t="n">
        <f aca="false">B19-E19</f>
        <v>280000</v>
      </c>
      <c r="G19" s="28" t="n">
        <f aca="false">INT((A19-1)/12)+1</f>
        <v>1</v>
      </c>
    </row>
    <row r="20" customFormat="false" ht="15" hidden="false" customHeight="false" outlineLevel="0" collapsed="false">
      <c r="A20" s="28" t="n">
        <v>2</v>
      </c>
      <c r="B20" s="21" t="n">
        <f aca="false">F19</f>
        <v>280000</v>
      </c>
      <c r="C20" s="21" t="n">
        <f aca="false">IF(A20&lt;=$B$8,$B$13,$B$14)</f>
        <v>1050</v>
      </c>
      <c r="D20" s="21" t="n">
        <f aca="false">B20*$B$11</f>
        <v>1050</v>
      </c>
      <c r="E20" s="21" t="n">
        <f aca="false">C20-D20</f>
        <v>0</v>
      </c>
      <c r="F20" s="21" t="n">
        <f aca="false">B20-E20</f>
        <v>280000</v>
      </c>
      <c r="G20" s="28" t="n">
        <f aca="false">INT((A20-1)/12)+1</f>
        <v>1</v>
      </c>
    </row>
    <row r="21" customFormat="false" ht="15" hidden="false" customHeight="false" outlineLevel="0" collapsed="false">
      <c r="A21" s="28" t="n">
        <v>3</v>
      </c>
      <c r="B21" s="21" t="n">
        <f aca="false">F20</f>
        <v>280000</v>
      </c>
      <c r="C21" s="21" t="n">
        <f aca="false">IF(A21&lt;=$B$8,$B$13,$B$14)</f>
        <v>1050</v>
      </c>
      <c r="D21" s="21" t="n">
        <f aca="false">B21*$B$11</f>
        <v>1050</v>
      </c>
      <c r="E21" s="21" t="n">
        <f aca="false">C21-D21</f>
        <v>0</v>
      </c>
      <c r="F21" s="21" t="n">
        <f aca="false">B21-E21</f>
        <v>280000</v>
      </c>
      <c r="G21" s="28" t="n">
        <f aca="false">INT((A21-1)/12)+1</f>
        <v>1</v>
      </c>
    </row>
    <row r="22" customFormat="false" ht="15" hidden="false" customHeight="false" outlineLevel="0" collapsed="false">
      <c r="A22" s="28" t="n">
        <v>4</v>
      </c>
      <c r="B22" s="21" t="n">
        <f aca="false">F21</f>
        <v>280000</v>
      </c>
      <c r="C22" s="21" t="n">
        <f aca="false">IF(A22&lt;=$B$8,$B$13,$B$14)</f>
        <v>1050</v>
      </c>
      <c r="D22" s="21" t="n">
        <f aca="false">B22*$B$11</f>
        <v>1050</v>
      </c>
      <c r="E22" s="21" t="n">
        <f aca="false">C22-D22</f>
        <v>0</v>
      </c>
      <c r="F22" s="21" t="n">
        <f aca="false">B22-E22</f>
        <v>280000</v>
      </c>
      <c r="G22" s="28" t="n">
        <f aca="false">INT((A22-1)/12)+1</f>
        <v>1</v>
      </c>
    </row>
    <row r="23" customFormat="false" ht="15" hidden="false" customHeight="false" outlineLevel="0" collapsed="false">
      <c r="A23" s="28" t="n">
        <v>5</v>
      </c>
      <c r="B23" s="21" t="n">
        <f aca="false">F22</f>
        <v>280000</v>
      </c>
      <c r="C23" s="21" t="n">
        <f aca="false">IF(A23&lt;=$B$8,$B$13,$B$14)</f>
        <v>1050</v>
      </c>
      <c r="D23" s="21" t="n">
        <f aca="false">B23*$B$11</f>
        <v>1050</v>
      </c>
      <c r="E23" s="21" t="n">
        <f aca="false">C23-D23</f>
        <v>0</v>
      </c>
      <c r="F23" s="21" t="n">
        <f aca="false">B23-E23</f>
        <v>280000</v>
      </c>
      <c r="G23" s="28" t="n">
        <f aca="false">INT((A23-1)/12)+1</f>
        <v>1</v>
      </c>
    </row>
    <row r="24" customFormat="false" ht="15" hidden="false" customHeight="false" outlineLevel="0" collapsed="false">
      <c r="A24" s="28" t="n">
        <v>6</v>
      </c>
      <c r="B24" s="21" t="n">
        <f aca="false">F23</f>
        <v>280000</v>
      </c>
      <c r="C24" s="21" t="n">
        <f aca="false">IF(A24&lt;=$B$8,$B$13,$B$14)</f>
        <v>1050</v>
      </c>
      <c r="D24" s="21" t="n">
        <f aca="false">B24*$B$11</f>
        <v>1050</v>
      </c>
      <c r="E24" s="21" t="n">
        <f aca="false">C24-D24</f>
        <v>0</v>
      </c>
      <c r="F24" s="21" t="n">
        <f aca="false">B24-E24</f>
        <v>280000</v>
      </c>
      <c r="G24" s="28" t="n">
        <f aca="false">INT((A24-1)/12)+1</f>
        <v>1</v>
      </c>
    </row>
    <row r="25" customFormat="false" ht="15" hidden="false" customHeight="false" outlineLevel="0" collapsed="false">
      <c r="A25" s="28" t="n">
        <v>7</v>
      </c>
      <c r="B25" s="21" t="n">
        <f aca="false">F24</f>
        <v>280000</v>
      </c>
      <c r="C25" s="21" t="n">
        <f aca="false">IF(A25&lt;=$B$8,$B$13,$B$14)</f>
        <v>4146.97982426132</v>
      </c>
      <c r="D25" s="21" t="n">
        <f aca="false">B25*$B$11</f>
        <v>1050</v>
      </c>
      <c r="E25" s="21" t="n">
        <f aca="false">C25-D25</f>
        <v>3096.97982426132</v>
      </c>
      <c r="F25" s="21" t="n">
        <f aca="false">B25-E25</f>
        <v>276903.020175739</v>
      </c>
      <c r="G25" s="28" t="n">
        <f aca="false">INT((A25-1)/12)+1</f>
        <v>1</v>
      </c>
    </row>
    <row r="26" customFormat="false" ht="15" hidden="false" customHeight="false" outlineLevel="0" collapsed="false">
      <c r="A26" s="28" t="n">
        <v>8</v>
      </c>
      <c r="B26" s="21" t="n">
        <f aca="false">F25</f>
        <v>276903.020175739</v>
      </c>
      <c r="C26" s="21" t="n">
        <f aca="false">IF(A26&lt;=$B$8,$B$13,$B$14)</f>
        <v>4146.97982426132</v>
      </c>
      <c r="D26" s="21" t="n">
        <f aca="false">B26*$B$11</f>
        <v>1038.38632565902</v>
      </c>
      <c r="E26" s="21" t="n">
        <f aca="false">C26-D26</f>
        <v>3108.5934986023</v>
      </c>
      <c r="F26" s="21" t="n">
        <f aca="false">B26-E26</f>
        <v>273794.426677136</v>
      </c>
      <c r="G26" s="28" t="n">
        <f aca="false">INT((A26-1)/12)+1</f>
        <v>1</v>
      </c>
    </row>
    <row r="27" customFormat="false" ht="15" hidden="false" customHeight="false" outlineLevel="0" collapsed="false">
      <c r="A27" s="28" t="n">
        <v>9</v>
      </c>
      <c r="B27" s="21" t="n">
        <f aca="false">F26</f>
        <v>273794.426677136</v>
      </c>
      <c r="C27" s="21" t="n">
        <f aca="false">IF(A27&lt;=$B$8,$B$13,$B$14)</f>
        <v>4146.97982426132</v>
      </c>
      <c r="D27" s="21" t="n">
        <f aca="false">B27*$B$11</f>
        <v>1026.72910003926</v>
      </c>
      <c r="E27" s="21" t="n">
        <f aca="false">C27-D27</f>
        <v>3120.25072422206</v>
      </c>
      <c r="F27" s="21" t="n">
        <f aca="false">B27-E27</f>
        <v>270674.175952914</v>
      </c>
      <c r="G27" s="28" t="n">
        <f aca="false">INT((A27-1)/12)+1</f>
        <v>1</v>
      </c>
    </row>
    <row r="28" customFormat="false" ht="15" hidden="false" customHeight="false" outlineLevel="0" collapsed="false">
      <c r="A28" s="28" t="n">
        <v>10</v>
      </c>
      <c r="B28" s="21" t="n">
        <f aca="false">F27</f>
        <v>270674.175952914</v>
      </c>
      <c r="C28" s="21" t="n">
        <f aca="false">IF(A28&lt;=$B$8,$B$13,$B$14)</f>
        <v>4146.97982426132</v>
      </c>
      <c r="D28" s="21" t="n">
        <f aca="false">B28*$B$11</f>
        <v>1015.02815982343</v>
      </c>
      <c r="E28" s="21" t="n">
        <f aca="false">C28-D28</f>
        <v>3131.95166443789</v>
      </c>
      <c r="F28" s="21" t="n">
        <f aca="false">B28-E28</f>
        <v>267542.224288476</v>
      </c>
      <c r="G28" s="28" t="n">
        <f aca="false">INT((A28-1)/12)+1</f>
        <v>1</v>
      </c>
    </row>
    <row r="29" customFormat="false" ht="15" hidden="false" customHeight="false" outlineLevel="0" collapsed="false">
      <c r="A29" s="28" t="n">
        <v>11</v>
      </c>
      <c r="B29" s="21" t="n">
        <f aca="false">F28</f>
        <v>267542.224288476</v>
      </c>
      <c r="C29" s="21" t="n">
        <f aca="false">IF(A29&lt;=$B$8,$B$13,$B$14)</f>
        <v>4146.97982426132</v>
      </c>
      <c r="D29" s="21" t="n">
        <f aca="false">B29*$B$11</f>
        <v>1003.28334108179</v>
      </c>
      <c r="E29" s="21" t="n">
        <f aca="false">C29-D29</f>
        <v>3143.69648317953</v>
      </c>
      <c r="F29" s="21" t="n">
        <f aca="false">B29-E29</f>
        <v>264398.527805297</v>
      </c>
      <c r="G29" s="28" t="n">
        <f aca="false">INT((A29-1)/12)+1</f>
        <v>1</v>
      </c>
    </row>
    <row r="30" customFormat="false" ht="15" hidden="false" customHeight="false" outlineLevel="0" collapsed="false">
      <c r="A30" s="28" t="n">
        <v>12</v>
      </c>
      <c r="B30" s="21" t="n">
        <f aca="false">F29</f>
        <v>264398.527805297</v>
      </c>
      <c r="C30" s="21" t="n">
        <f aca="false">IF(A30&lt;=$B$8,$B$13,$B$14)</f>
        <v>4146.97982426132</v>
      </c>
      <c r="D30" s="21" t="n">
        <f aca="false">B30*$B$11</f>
        <v>991.494479269864</v>
      </c>
      <c r="E30" s="21" t="n">
        <f aca="false">C30-D30</f>
        <v>3155.48534499145</v>
      </c>
      <c r="F30" s="21" t="n">
        <f aca="false">B30-E30</f>
        <v>261243.042460305</v>
      </c>
      <c r="G30" s="28" t="n">
        <f aca="false">INT((A30-1)/12)+1</f>
        <v>1</v>
      </c>
    </row>
    <row r="31" customFormat="false" ht="15" hidden="false" customHeight="false" outlineLevel="0" collapsed="false">
      <c r="A31" s="28" t="n">
        <v>13</v>
      </c>
      <c r="B31" s="21" t="n">
        <f aca="false">F30</f>
        <v>261243.042460305</v>
      </c>
      <c r="C31" s="21" t="n">
        <f aca="false">IF(A31&lt;=$B$8,$B$13,$B$14)</f>
        <v>4146.97982426132</v>
      </c>
      <c r="D31" s="21" t="n">
        <f aca="false">B31*$B$11</f>
        <v>979.661409226146</v>
      </c>
      <c r="E31" s="21" t="n">
        <f aca="false">C31-D31</f>
        <v>3167.31841503517</v>
      </c>
      <c r="F31" s="21" t="n">
        <f aca="false">B31-E31</f>
        <v>258075.72404527</v>
      </c>
      <c r="G31" s="28" t="n">
        <f aca="false">INT((A31-1)/12)+1</f>
        <v>2</v>
      </c>
    </row>
    <row r="32" customFormat="false" ht="15" hidden="false" customHeight="false" outlineLevel="0" collapsed="false">
      <c r="A32" s="28" t="n">
        <v>14</v>
      </c>
      <c r="B32" s="21" t="n">
        <f aca="false">F31</f>
        <v>258075.72404527</v>
      </c>
      <c r="C32" s="21" t="n">
        <f aca="false">IF(A32&lt;=$B$8,$B$13,$B$14)</f>
        <v>4146.97982426132</v>
      </c>
      <c r="D32" s="21" t="n">
        <f aca="false">B32*$B$11</f>
        <v>967.783965169764</v>
      </c>
      <c r="E32" s="21" t="n">
        <f aca="false">C32-D32</f>
        <v>3179.19585909155</v>
      </c>
      <c r="F32" s="21" t="n">
        <f aca="false">B32-E32</f>
        <v>254896.528186179</v>
      </c>
      <c r="G32" s="28" t="n">
        <f aca="false">INT((A32-1)/12)+1</f>
        <v>2</v>
      </c>
    </row>
    <row r="33" customFormat="false" ht="15" hidden="false" customHeight="false" outlineLevel="0" collapsed="false">
      <c r="A33" s="28" t="n">
        <v>15</v>
      </c>
      <c r="B33" s="21" t="n">
        <f aca="false">F32</f>
        <v>254896.528186179</v>
      </c>
      <c r="C33" s="21" t="n">
        <f aca="false">IF(A33&lt;=$B$8,$B$13,$B$14)</f>
        <v>4146.97982426132</v>
      </c>
      <c r="D33" s="21" t="n">
        <f aca="false">B33*$B$11</f>
        <v>955.86198069817</v>
      </c>
      <c r="E33" s="21" t="n">
        <f aca="false">C33-D33</f>
        <v>3191.11784356315</v>
      </c>
      <c r="F33" s="21" t="n">
        <f aca="false">B33-E33</f>
        <v>251705.410342616</v>
      </c>
      <c r="G33" s="28" t="n">
        <f aca="false">INT((A33-1)/12)+1</f>
        <v>2</v>
      </c>
    </row>
    <row r="34" customFormat="false" ht="15" hidden="false" customHeight="false" outlineLevel="0" collapsed="false">
      <c r="A34" s="28" t="n">
        <v>16</v>
      </c>
      <c r="B34" s="21" t="n">
        <f aca="false">F33</f>
        <v>251705.410342616</v>
      </c>
      <c r="C34" s="21" t="n">
        <f aca="false">IF(A34&lt;=$B$8,$B$13,$B$14)</f>
        <v>4146.97982426132</v>
      </c>
      <c r="D34" s="21" t="n">
        <f aca="false">B34*$B$11</f>
        <v>943.895288784809</v>
      </c>
      <c r="E34" s="21" t="n">
        <f aca="false">C34-D34</f>
        <v>3203.08453547651</v>
      </c>
      <c r="F34" s="21" t="n">
        <f aca="false">B34-E34</f>
        <v>248502.325807139</v>
      </c>
      <c r="G34" s="28" t="n">
        <f aca="false">INT((A34-1)/12)+1</f>
        <v>2</v>
      </c>
    </row>
    <row r="35" customFormat="false" ht="15" hidden="false" customHeight="false" outlineLevel="0" collapsed="false">
      <c r="A35" s="28" t="n">
        <v>17</v>
      </c>
      <c r="B35" s="21" t="n">
        <f aca="false">F34</f>
        <v>248502.325807139</v>
      </c>
      <c r="C35" s="21" t="n">
        <f aca="false">IF(A35&lt;=$B$8,$B$13,$B$14)</f>
        <v>4146.97982426132</v>
      </c>
      <c r="D35" s="21" t="n">
        <f aca="false">B35*$B$11</f>
        <v>931.883721776772</v>
      </c>
      <c r="E35" s="21" t="n">
        <f aca="false">C35-D35</f>
        <v>3215.09610248455</v>
      </c>
      <c r="F35" s="21" t="n">
        <f aca="false">B35-E35</f>
        <v>245287.229704655</v>
      </c>
      <c r="G35" s="28" t="n">
        <f aca="false">INT((A35-1)/12)+1</f>
        <v>2</v>
      </c>
    </row>
    <row r="36" customFormat="false" ht="15" hidden="false" customHeight="false" outlineLevel="0" collapsed="false">
      <c r="A36" s="28" t="n">
        <v>18</v>
      </c>
      <c r="B36" s="21" t="n">
        <f aca="false">F35</f>
        <v>245287.229704655</v>
      </c>
      <c r="C36" s="21" t="n">
        <f aca="false">IF(A36&lt;=$B$8,$B$13,$B$14)</f>
        <v>4146.97982426132</v>
      </c>
      <c r="D36" s="21" t="n">
        <f aca="false">B36*$B$11</f>
        <v>919.827111392455</v>
      </c>
      <c r="E36" s="21" t="n">
        <f aca="false">C36-D36</f>
        <v>3227.15271286886</v>
      </c>
      <c r="F36" s="21" t="n">
        <f aca="false">B36-E36</f>
        <v>242060.076991786</v>
      </c>
      <c r="G36" s="28" t="n">
        <f aca="false">INT((A36-1)/12)+1</f>
        <v>2</v>
      </c>
    </row>
    <row r="37" customFormat="false" ht="15" hidden="false" customHeight="false" outlineLevel="0" collapsed="false">
      <c r="A37" s="28" t="n">
        <v>19</v>
      </c>
      <c r="B37" s="21" t="n">
        <f aca="false">F36</f>
        <v>242060.076991786</v>
      </c>
      <c r="C37" s="21" t="n">
        <f aca="false">IF(A37&lt;=$B$8,$B$13,$B$14)</f>
        <v>4146.97982426132</v>
      </c>
      <c r="D37" s="21" t="n">
        <f aca="false">B37*$B$11</f>
        <v>907.725288719196</v>
      </c>
      <c r="E37" s="21" t="n">
        <f aca="false">C37-D37</f>
        <v>3239.25453554212</v>
      </c>
      <c r="F37" s="21" t="n">
        <f aca="false">B37-E37</f>
        <v>238820.822456244</v>
      </c>
      <c r="G37" s="28" t="n">
        <f aca="false">INT((A37-1)/12)+1</f>
        <v>2</v>
      </c>
    </row>
    <row r="38" customFormat="false" ht="15" hidden="false" customHeight="false" outlineLevel="0" collapsed="false">
      <c r="A38" s="28" t="n">
        <v>20</v>
      </c>
      <c r="B38" s="21" t="n">
        <f aca="false">F37</f>
        <v>238820.822456244</v>
      </c>
      <c r="C38" s="21" t="n">
        <f aca="false">IF(A38&lt;=$B$8,$B$13,$B$14)</f>
        <v>4146.97982426132</v>
      </c>
      <c r="D38" s="21" t="n">
        <f aca="false">B38*$B$11</f>
        <v>895.578084210913</v>
      </c>
      <c r="E38" s="21" t="n">
        <f aca="false">C38-D38</f>
        <v>3251.4017400504</v>
      </c>
      <c r="F38" s="21" t="n">
        <f aca="false">B38-E38</f>
        <v>235569.420716193</v>
      </c>
      <c r="G38" s="28" t="n">
        <f aca="false">INT((A38-1)/12)+1</f>
        <v>2</v>
      </c>
    </row>
    <row r="39" customFormat="false" ht="15" hidden="false" customHeight="false" outlineLevel="0" collapsed="false">
      <c r="A39" s="28" t="n">
        <v>21</v>
      </c>
      <c r="B39" s="21" t="n">
        <f aca="false">F38</f>
        <v>235569.420716193</v>
      </c>
      <c r="C39" s="21" t="n">
        <f aca="false">IF(A39&lt;=$B$8,$B$13,$B$14)</f>
        <v>4146.97982426132</v>
      </c>
      <c r="D39" s="21" t="n">
        <f aca="false">B39*$B$11</f>
        <v>883.385327685724</v>
      </c>
      <c r="E39" s="21" t="n">
        <f aca="false">C39-D39</f>
        <v>3263.59449657559</v>
      </c>
      <c r="F39" s="21" t="n">
        <f aca="false">B39-E39</f>
        <v>232305.826219618</v>
      </c>
      <c r="G39" s="28" t="n">
        <f aca="false">INT((A39-1)/12)+1</f>
        <v>2</v>
      </c>
    </row>
    <row r="40" customFormat="false" ht="15" hidden="false" customHeight="false" outlineLevel="0" collapsed="false">
      <c r="A40" s="28" t="n">
        <v>22</v>
      </c>
      <c r="B40" s="21" t="n">
        <f aca="false">F39</f>
        <v>232305.826219618</v>
      </c>
      <c r="C40" s="21" t="n">
        <f aca="false">IF(A40&lt;=$B$8,$B$13,$B$14)</f>
        <v>4146.97982426132</v>
      </c>
      <c r="D40" s="21" t="n">
        <f aca="false">B40*$B$11</f>
        <v>871.146848323566</v>
      </c>
      <c r="E40" s="21" t="n">
        <f aca="false">C40-D40</f>
        <v>3275.83297593775</v>
      </c>
      <c r="F40" s="21" t="n">
        <f aca="false">B40-E40</f>
        <v>229029.99324368</v>
      </c>
      <c r="G40" s="28" t="n">
        <f aca="false">INT((A40-1)/12)+1</f>
        <v>2</v>
      </c>
    </row>
    <row r="41" customFormat="false" ht="15" hidden="false" customHeight="false" outlineLevel="0" collapsed="false">
      <c r="A41" s="28" t="n">
        <v>23</v>
      </c>
      <c r="B41" s="21" t="n">
        <f aca="false">F40</f>
        <v>229029.99324368</v>
      </c>
      <c r="C41" s="21" t="n">
        <f aca="false">IF(A41&lt;=$B$8,$B$13,$B$14)</f>
        <v>4146.97982426132</v>
      </c>
      <c r="D41" s="21" t="n">
        <f aca="false">B41*$B$11</f>
        <v>858.862474663799</v>
      </c>
      <c r="E41" s="21" t="n">
        <f aca="false">C41-D41</f>
        <v>3288.11734959752</v>
      </c>
      <c r="F41" s="21" t="n">
        <f aca="false">B41-E41</f>
        <v>225741.875894082</v>
      </c>
      <c r="G41" s="28" t="n">
        <f aca="false">INT((A41-1)/12)+1</f>
        <v>2</v>
      </c>
    </row>
    <row r="42" customFormat="false" ht="15" hidden="false" customHeight="false" outlineLevel="0" collapsed="false">
      <c r="A42" s="28" t="n">
        <v>24</v>
      </c>
      <c r="B42" s="21" t="n">
        <f aca="false">F41</f>
        <v>225741.875894082</v>
      </c>
      <c r="C42" s="21" t="n">
        <f aca="false">IF(A42&lt;=$B$8,$B$13,$B$14)</f>
        <v>4146.97982426132</v>
      </c>
      <c r="D42" s="21" t="n">
        <f aca="false">B42*$B$11</f>
        <v>846.532034602809</v>
      </c>
      <c r="E42" s="21" t="n">
        <f aca="false">C42-D42</f>
        <v>3300.44778965851</v>
      </c>
      <c r="F42" s="21" t="n">
        <f aca="false">B42-E42</f>
        <v>222441.428104424</v>
      </c>
      <c r="G42" s="28" t="n">
        <f aca="false">INT((A42-1)/12)+1</f>
        <v>2</v>
      </c>
    </row>
    <row r="43" customFormat="false" ht="15" hidden="false" customHeight="false" outlineLevel="0" collapsed="false">
      <c r="A43" s="28" t="n">
        <v>25</v>
      </c>
      <c r="B43" s="21" t="n">
        <f aca="false">F42</f>
        <v>222441.428104424</v>
      </c>
      <c r="C43" s="21" t="n">
        <f aca="false">IF(A43&lt;=$B$8,$B$13,$B$14)</f>
        <v>4146.97982426132</v>
      </c>
      <c r="D43" s="21" t="n">
        <f aca="false">B43*$B$11</f>
        <v>834.155355391589</v>
      </c>
      <c r="E43" s="21" t="n">
        <f aca="false">C43-D43</f>
        <v>3312.82446886973</v>
      </c>
      <c r="F43" s="21" t="n">
        <f aca="false">B43-E43</f>
        <v>219128.603635554</v>
      </c>
      <c r="G43" s="28" t="n">
        <f aca="false">INT((A43-1)/12)+1</f>
        <v>3</v>
      </c>
    </row>
    <row r="44" customFormat="false" ht="15" hidden="false" customHeight="false" outlineLevel="0" collapsed="false">
      <c r="A44" s="28" t="n">
        <v>26</v>
      </c>
      <c r="B44" s="21" t="n">
        <f aca="false">F43</f>
        <v>219128.603635554</v>
      </c>
      <c r="C44" s="21" t="n">
        <f aca="false">IF(A44&lt;=$B$8,$B$13,$B$14)</f>
        <v>4146.97982426132</v>
      </c>
      <c r="D44" s="21" t="n">
        <f aca="false">B44*$B$11</f>
        <v>821.732263633328</v>
      </c>
      <c r="E44" s="21" t="n">
        <f aca="false">C44-D44</f>
        <v>3325.24756062799</v>
      </c>
      <c r="F44" s="21" t="n">
        <f aca="false">B44-E44</f>
        <v>215803.356074926</v>
      </c>
      <c r="G44" s="28" t="n">
        <f aca="false">INT((A44-1)/12)+1</f>
        <v>3</v>
      </c>
    </row>
    <row r="45" customFormat="false" ht="15" hidden="false" customHeight="false" outlineLevel="0" collapsed="false">
      <c r="A45" s="28" t="n">
        <v>27</v>
      </c>
      <c r="B45" s="21" t="n">
        <f aca="false">F44</f>
        <v>215803.356074926</v>
      </c>
      <c r="C45" s="21" t="n">
        <f aca="false">IF(A45&lt;=$B$8,$B$13,$B$14)</f>
        <v>4146.97982426132</v>
      </c>
      <c r="D45" s="21" t="n">
        <f aca="false">B45*$B$11</f>
        <v>809.262585280973</v>
      </c>
      <c r="E45" s="21" t="n">
        <f aca="false">C45-D45</f>
        <v>3337.71723898034</v>
      </c>
      <c r="F45" s="21" t="n">
        <f aca="false">B45-E45</f>
        <v>212465.638835946</v>
      </c>
      <c r="G45" s="28" t="n">
        <f aca="false">INT((A45-1)/12)+1</f>
        <v>3</v>
      </c>
    </row>
    <row r="46" customFormat="false" ht="15" hidden="false" customHeight="false" outlineLevel="0" collapsed="false">
      <c r="A46" s="28" t="n">
        <v>28</v>
      </c>
      <c r="B46" s="21" t="n">
        <f aca="false">F45</f>
        <v>212465.638835946</v>
      </c>
      <c r="C46" s="21" t="n">
        <f aca="false">IF(A46&lt;=$B$8,$B$13,$B$14)</f>
        <v>4146.97982426132</v>
      </c>
      <c r="D46" s="21" t="n">
        <f aca="false">B46*$B$11</f>
        <v>796.746145634796</v>
      </c>
      <c r="E46" s="21" t="n">
        <f aca="false">C46-D46</f>
        <v>3350.23367862652</v>
      </c>
      <c r="F46" s="21" t="n">
        <f aca="false">B46-E46</f>
        <v>209115.405157319</v>
      </c>
      <c r="G46" s="28" t="n">
        <f aca="false">INT((A46-1)/12)+1</f>
        <v>3</v>
      </c>
    </row>
    <row r="47" customFormat="false" ht="15" hidden="false" customHeight="false" outlineLevel="0" collapsed="false">
      <c r="A47" s="28" t="n">
        <v>29</v>
      </c>
      <c r="B47" s="21" t="n">
        <f aca="false">F46</f>
        <v>209115.405157319</v>
      </c>
      <c r="C47" s="21" t="n">
        <f aca="false">IF(A47&lt;=$B$8,$B$13,$B$14)</f>
        <v>4146.97982426132</v>
      </c>
      <c r="D47" s="21" t="n">
        <f aca="false">B47*$B$11</f>
        <v>784.182769339947</v>
      </c>
      <c r="E47" s="21" t="n">
        <f aca="false">C47-D47</f>
        <v>3362.79705492137</v>
      </c>
      <c r="F47" s="21" t="n">
        <f aca="false">B47-E47</f>
        <v>205752.608102398</v>
      </c>
      <c r="G47" s="28" t="n">
        <f aca="false">INT((A47-1)/12)+1</f>
        <v>3</v>
      </c>
    </row>
    <row r="48" customFormat="false" ht="15" hidden="false" customHeight="false" outlineLevel="0" collapsed="false">
      <c r="A48" s="28" t="n">
        <v>30</v>
      </c>
      <c r="B48" s="21" t="n">
        <f aca="false">F47</f>
        <v>205752.608102398</v>
      </c>
      <c r="C48" s="21" t="n">
        <f aca="false">IF(A48&lt;=$B$8,$B$13,$B$14)</f>
        <v>4146.97982426132</v>
      </c>
      <c r="D48" s="21" t="n">
        <f aca="false">B48*$B$11</f>
        <v>771.572280383992</v>
      </c>
      <c r="E48" s="21" t="n">
        <f aca="false">C48-D48</f>
        <v>3375.40754387733</v>
      </c>
      <c r="F48" s="21" t="n">
        <f aca="false">B48-E48</f>
        <v>202377.200558521</v>
      </c>
      <c r="G48" s="28" t="n">
        <f aca="false">INT((A48-1)/12)+1</f>
        <v>3</v>
      </c>
    </row>
    <row r="49" customFormat="false" ht="15" hidden="false" customHeight="false" outlineLevel="0" collapsed="false">
      <c r="A49" s="28" t="n">
        <v>31</v>
      </c>
      <c r="B49" s="21" t="n">
        <f aca="false">F48</f>
        <v>202377.200558521</v>
      </c>
      <c r="C49" s="21" t="n">
        <f aca="false">IF(A49&lt;=$B$8,$B$13,$B$14)</f>
        <v>4146.97982426132</v>
      </c>
      <c r="D49" s="21" t="n">
        <f aca="false">B49*$B$11</f>
        <v>758.914502094452</v>
      </c>
      <c r="E49" s="21" t="n">
        <f aca="false">C49-D49</f>
        <v>3388.06532216687</v>
      </c>
      <c r="F49" s="21" t="n">
        <f aca="false">B49-E49</f>
        <v>198989.135236354</v>
      </c>
      <c r="G49" s="28" t="n">
        <f aca="false">INT((A49-1)/12)+1</f>
        <v>3</v>
      </c>
    </row>
    <row r="50" customFormat="false" ht="15" hidden="false" customHeight="false" outlineLevel="0" collapsed="false">
      <c r="A50" s="28" t="n">
        <v>32</v>
      </c>
      <c r="B50" s="21" t="n">
        <f aca="false">F49</f>
        <v>198989.135236354</v>
      </c>
      <c r="C50" s="21" t="n">
        <f aca="false">IF(A50&lt;=$B$8,$B$13,$B$14)</f>
        <v>4146.97982426132</v>
      </c>
      <c r="D50" s="21" t="n">
        <f aca="false">B50*$B$11</f>
        <v>746.209257136326</v>
      </c>
      <c r="E50" s="21" t="n">
        <f aca="false">C50-D50</f>
        <v>3400.77056712499</v>
      </c>
      <c r="F50" s="21" t="n">
        <f aca="false">B50-E50</f>
        <v>195588.364669229</v>
      </c>
      <c r="G50" s="28" t="n">
        <f aca="false">INT((A50-1)/12)+1</f>
        <v>3</v>
      </c>
    </row>
    <row r="51" customFormat="false" ht="15" hidden="false" customHeight="false" outlineLevel="0" collapsed="false">
      <c r="A51" s="28" t="n">
        <v>33</v>
      </c>
      <c r="B51" s="21" t="n">
        <f aca="false">F50</f>
        <v>195588.364669229</v>
      </c>
      <c r="C51" s="21" t="n">
        <f aca="false">IF(A51&lt;=$B$8,$B$13,$B$14)</f>
        <v>4146.97982426132</v>
      </c>
      <c r="D51" s="21" t="n">
        <f aca="false">B51*$B$11</f>
        <v>733.456367509608</v>
      </c>
      <c r="E51" s="21" t="n">
        <f aca="false">C51-D51</f>
        <v>3413.52345675171</v>
      </c>
      <c r="F51" s="21" t="n">
        <f aca="false">B51-E51</f>
        <v>192174.841212477</v>
      </c>
      <c r="G51" s="28" t="n">
        <f aca="false">INT((A51-1)/12)+1</f>
        <v>3</v>
      </c>
    </row>
    <row r="52" customFormat="false" ht="15" hidden="false" customHeight="false" outlineLevel="0" collapsed="false">
      <c r="A52" s="28" t="n">
        <v>34</v>
      </c>
      <c r="B52" s="21" t="n">
        <f aca="false">F51</f>
        <v>192174.841212477</v>
      </c>
      <c r="C52" s="21" t="n">
        <f aca="false">IF(A52&lt;=$B$8,$B$13,$B$14)</f>
        <v>4146.97982426132</v>
      </c>
      <c r="D52" s="21" t="n">
        <f aca="false">B52*$B$11</f>
        <v>720.655654546789</v>
      </c>
      <c r="E52" s="21" t="n">
        <f aca="false">C52-D52</f>
        <v>3426.32416971453</v>
      </c>
      <c r="F52" s="21" t="n">
        <f aca="false">B52-E52</f>
        <v>188748.517042762</v>
      </c>
      <c r="G52" s="28" t="n">
        <f aca="false">INT((A52-1)/12)+1</f>
        <v>3</v>
      </c>
    </row>
    <row r="53" customFormat="false" ht="15" hidden="false" customHeight="false" outlineLevel="0" collapsed="false">
      <c r="A53" s="28" t="n">
        <v>35</v>
      </c>
      <c r="B53" s="21" t="n">
        <f aca="false">F52</f>
        <v>188748.517042762</v>
      </c>
      <c r="C53" s="21" t="n">
        <f aca="false">IF(A53&lt;=$B$8,$B$13,$B$14)</f>
        <v>4146.97982426132</v>
      </c>
      <c r="D53" s="21" t="n">
        <f aca="false">B53*$B$11</f>
        <v>707.806938910359</v>
      </c>
      <c r="E53" s="21" t="n">
        <f aca="false">C53-D53</f>
        <v>3439.17288535096</v>
      </c>
      <c r="F53" s="21" t="n">
        <f aca="false">B53-E53</f>
        <v>185309.344157411</v>
      </c>
      <c r="G53" s="28" t="n">
        <f aca="false">INT((A53-1)/12)+1</f>
        <v>3</v>
      </c>
    </row>
    <row r="54" customFormat="false" ht="15" hidden="false" customHeight="false" outlineLevel="0" collapsed="false">
      <c r="A54" s="28" t="n">
        <v>36</v>
      </c>
      <c r="B54" s="21" t="n">
        <f aca="false">F53</f>
        <v>185309.344157411</v>
      </c>
      <c r="C54" s="21" t="n">
        <f aca="false">IF(A54&lt;=$B$8,$B$13,$B$14)</f>
        <v>4146.97982426132</v>
      </c>
      <c r="D54" s="21" t="n">
        <f aca="false">B54*$B$11</f>
        <v>694.910040590293</v>
      </c>
      <c r="E54" s="21" t="n">
        <f aca="false">C54-D54</f>
        <v>3452.06978367102</v>
      </c>
      <c r="F54" s="21" t="n">
        <f aca="false">B54-E54</f>
        <v>181857.27437374</v>
      </c>
      <c r="G54" s="28" t="n">
        <f aca="false">INT((A54-1)/12)+1</f>
        <v>3</v>
      </c>
    </row>
    <row r="55" customFormat="false" ht="15" hidden="false" customHeight="false" outlineLevel="0" collapsed="false">
      <c r="A55" s="28" t="n">
        <v>37</v>
      </c>
      <c r="B55" s="21" t="n">
        <f aca="false">F54</f>
        <v>181857.27437374</v>
      </c>
      <c r="C55" s="21" t="n">
        <f aca="false">IF(A55&lt;=$B$8,$B$13,$B$14)</f>
        <v>4146.97982426132</v>
      </c>
      <c r="D55" s="21" t="n">
        <f aca="false">B55*$B$11</f>
        <v>681.964778901527</v>
      </c>
      <c r="E55" s="21" t="n">
        <f aca="false">C55-D55</f>
        <v>3465.01504535979</v>
      </c>
      <c r="F55" s="21" t="n">
        <f aca="false">B55-E55</f>
        <v>178392.259328381</v>
      </c>
      <c r="G55" s="28" t="n">
        <f aca="false">INT((A55-1)/12)+1</f>
        <v>4</v>
      </c>
    </row>
    <row r="56" customFormat="false" ht="15" hidden="false" customHeight="false" outlineLevel="0" collapsed="false">
      <c r="A56" s="28" t="n">
        <v>38</v>
      </c>
      <c r="B56" s="21" t="n">
        <f aca="false">F55</f>
        <v>178392.259328381</v>
      </c>
      <c r="C56" s="21" t="n">
        <f aca="false">IF(A56&lt;=$B$8,$B$13,$B$14)</f>
        <v>4146.97982426132</v>
      </c>
      <c r="D56" s="21" t="n">
        <f aca="false">B56*$B$11</f>
        <v>668.970972481427</v>
      </c>
      <c r="E56" s="21" t="n">
        <f aca="false">C56-D56</f>
        <v>3478.00885177989</v>
      </c>
      <c r="F56" s="21" t="n">
        <f aca="false">B56-E56</f>
        <v>174914.250476601</v>
      </c>
      <c r="G56" s="28" t="n">
        <f aca="false">INT((A56-1)/12)+1</f>
        <v>4</v>
      </c>
    </row>
    <row r="57" customFormat="false" ht="15" hidden="false" customHeight="false" outlineLevel="0" collapsed="false">
      <c r="A57" s="28" t="n">
        <v>39</v>
      </c>
      <c r="B57" s="21" t="n">
        <f aca="false">F56</f>
        <v>174914.250476601</v>
      </c>
      <c r="C57" s="21" t="n">
        <f aca="false">IF(A57&lt;=$B$8,$B$13,$B$14)</f>
        <v>4146.97982426132</v>
      </c>
      <c r="D57" s="21" t="n">
        <f aca="false">B57*$B$11</f>
        <v>655.928439287253</v>
      </c>
      <c r="E57" s="21" t="n">
        <f aca="false">C57-D57</f>
        <v>3491.05138497406</v>
      </c>
      <c r="F57" s="21" t="n">
        <f aca="false">B57-E57</f>
        <v>171423.199091627</v>
      </c>
      <c r="G57" s="28" t="n">
        <f aca="false">INT((A57-1)/12)+1</f>
        <v>4</v>
      </c>
    </row>
    <row r="58" customFormat="false" ht="15" hidden="false" customHeight="false" outlineLevel="0" collapsed="false">
      <c r="A58" s="28" t="n">
        <v>40</v>
      </c>
      <c r="B58" s="21" t="n">
        <f aca="false">F57</f>
        <v>171423.199091627</v>
      </c>
      <c r="C58" s="21" t="n">
        <f aca="false">IF(A58&lt;=$B$8,$B$13,$B$14)</f>
        <v>4146.97982426132</v>
      </c>
      <c r="D58" s="21" t="n">
        <f aca="false">B58*$B$11</f>
        <v>642.8369965936</v>
      </c>
      <c r="E58" s="21" t="n">
        <f aca="false">C58-D58</f>
        <v>3504.14282766772</v>
      </c>
      <c r="F58" s="21" t="n">
        <f aca="false">B58-E58</f>
        <v>167919.056263959</v>
      </c>
      <c r="G58" s="28" t="n">
        <f aca="false">INT((A58-1)/12)+1</f>
        <v>4</v>
      </c>
    </row>
    <row r="59" customFormat="false" ht="15" hidden="false" customHeight="false" outlineLevel="0" collapsed="false">
      <c r="A59" s="28" t="n">
        <v>41</v>
      </c>
      <c r="B59" s="21" t="n">
        <f aca="false">F58</f>
        <v>167919.056263959</v>
      </c>
      <c r="C59" s="21" t="n">
        <f aca="false">IF(A59&lt;=$B$8,$B$13,$B$14)</f>
        <v>4146.97982426132</v>
      </c>
      <c r="D59" s="21" t="n">
        <f aca="false">B59*$B$11</f>
        <v>629.696460989846</v>
      </c>
      <c r="E59" s="21" t="n">
        <f aca="false">C59-D59</f>
        <v>3517.28336327147</v>
      </c>
      <c r="F59" s="21" t="n">
        <f aca="false">B59-E59</f>
        <v>164401.772900688</v>
      </c>
      <c r="G59" s="28" t="n">
        <f aca="false">INT((A59-1)/12)+1</f>
        <v>4</v>
      </c>
    </row>
    <row r="60" customFormat="false" ht="15" hidden="false" customHeight="false" outlineLevel="0" collapsed="false">
      <c r="A60" s="28" t="n">
        <v>42</v>
      </c>
      <c r="B60" s="21" t="n">
        <f aca="false">F59</f>
        <v>164401.772900688</v>
      </c>
      <c r="C60" s="21" t="n">
        <f aca="false">IF(A60&lt;=$B$8,$B$13,$B$14)</f>
        <v>4146.97982426132</v>
      </c>
      <c r="D60" s="21" t="n">
        <f aca="false">B60*$B$11</f>
        <v>616.506648377578</v>
      </c>
      <c r="E60" s="21" t="n">
        <f aca="false">C60-D60</f>
        <v>3530.47317588374</v>
      </c>
      <c r="F60" s="21" t="n">
        <f aca="false">B60-E60</f>
        <v>160871.299724804</v>
      </c>
      <c r="G60" s="28" t="n">
        <f aca="false">INT((A60-1)/12)+1</f>
        <v>4</v>
      </c>
    </row>
    <row r="61" customFormat="false" ht="15" hidden="false" customHeight="false" outlineLevel="0" collapsed="false">
      <c r="A61" s="28" t="n">
        <v>43</v>
      </c>
      <c r="B61" s="21" t="n">
        <f aca="false">F60</f>
        <v>160871.299724804</v>
      </c>
      <c r="C61" s="21" t="n">
        <f aca="false">IF(A61&lt;=$B$8,$B$13,$B$14)</f>
        <v>4146.97982426132</v>
      </c>
      <c r="D61" s="21" t="n">
        <f aca="false">B61*$B$11</f>
        <v>603.267373968014</v>
      </c>
      <c r="E61" s="21" t="n">
        <f aca="false">C61-D61</f>
        <v>3543.7124502933</v>
      </c>
      <c r="F61" s="21" t="n">
        <f aca="false">B61-E61</f>
        <v>157327.58727451</v>
      </c>
      <c r="G61" s="28" t="n">
        <f aca="false">INT((A61-1)/12)+1</f>
        <v>4</v>
      </c>
    </row>
    <row r="62" customFormat="false" ht="15" hidden="false" customHeight="false" outlineLevel="0" collapsed="false">
      <c r="A62" s="28" t="n">
        <v>44</v>
      </c>
      <c r="B62" s="21" t="n">
        <f aca="false">F61</f>
        <v>157327.58727451</v>
      </c>
      <c r="C62" s="21" t="n">
        <f aca="false">IF(A62&lt;=$B$8,$B$13,$B$14)</f>
        <v>4146.97982426132</v>
      </c>
      <c r="D62" s="21" t="n">
        <f aca="false">B62*$B$11</f>
        <v>589.978452279414</v>
      </c>
      <c r="E62" s="21" t="n">
        <f aca="false">C62-D62</f>
        <v>3557.0013719819</v>
      </c>
      <c r="F62" s="21" t="n">
        <f aca="false">B62-E62</f>
        <v>153770.585902529</v>
      </c>
      <c r="G62" s="28" t="n">
        <f aca="false">INT((A62-1)/12)+1</f>
        <v>4</v>
      </c>
    </row>
    <row r="63" customFormat="false" ht="15" hidden="false" customHeight="false" outlineLevel="0" collapsed="false">
      <c r="A63" s="28" t="n">
        <v>45</v>
      </c>
      <c r="B63" s="21" t="n">
        <f aca="false">F62</f>
        <v>153770.585902529</v>
      </c>
      <c r="C63" s="21" t="n">
        <f aca="false">IF(A63&lt;=$B$8,$B$13,$B$14)</f>
        <v>4146.97982426132</v>
      </c>
      <c r="D63" s="21" t="n">
        <f aca="false">B63*$B$11</f>
        <v>576.639697134482</v>
      </c>
      <c r="E63" s="21" t="n">
        <f aca="false">C63-D63</f>
        <v>3570.34012712684</v>
      </c>
      <c r="F63" s="21" t="n">
        <f aca="false">B63-E63</f>
        <v>150200.245775402</v>
      </c>
      <c r="G63" s="28" t="n">
        <f aca="false">INT((A63-1)/12)+1</f>
        <v>4</v>
      </c>
    </row>
    <row r="64" customFormat="false" ht="15" hidden="false" customHeight="false" outlineLevel="0" collapsed="false">
      <c r="A64" s="28" t="n">
        <v>46</v>
      </c>
      <c r="B64" s="21" t="n">
        <f aca="false">F63</f>
        <v>150200.245775402</v>
      </c>
      <c r="C64" s="21" t="n">
        <f aca="false">IF(A64&lt;=$B$8,$B$13,$B$14)</f>
        <v>4146.97982426132</v>
      </c>
      <c r="D64" s="21" t="n">
        <f aca="false">B64*$B$11</f>
        <v>563.250921657757</v>
      </c>
      <c r="E64" s="21" t="n">
        <f aca="false">C64-D64</f>
        <v>3583.72890260356</v>
      </c>
      <c r="F64" s="21" t="n">
        <f aca="false">B64-E64</f>
        <v>146616.516872798</v>
      </c>
      <c r="G64" s="28" t="n">
        <f aca="false">INT((A64-1)/12)+1</f>
        <v>4</v>
      </c>
    </row>
    <row r="65" customFormat="false" ht="15" hidden="false" customHeight="false" outlineLevel="0" collapsed="false">
      <c r="A65" s="28" t="n">
        <v>47</v>
      </c>
      <c r="B65" s="21" t="n">
        <f aca="false">F64</f>
        <v>146616.516872798</v>
      </c>
      <c r="C65" s="21" t="n">
        <f aca="false">IF(A65&lt;=$B$8,$B$13,$B$14)</f>
        <v>4146.97982426132</v>
      </c>
      <c r="D65" s="21" t="n">
        <f aca="false">B65*$B$11</f>
        <v>549.811938272993</v>
      </c>
      <c r="E65" s="21" t="n">
        <f aca="false">C65-D65</f>
        <v>3597.16788598832</v>
      </c>
      <c r="F65" s="21" t="n">
        <f aca="false">B65-E65</f>
        <v>143019.34898681</v>
      </c>
      <c r="G65" s="28" t="n">
        <f aca="false">INT((A65-1)/12)+1</f>
        <v>4</v>
      </c>
    </row>
    <row r="66" customFormat="false" ht="15" hidden="false" customHeight="false" outlineLevel="0" collapsed="false">
      <c r="A66" s="28" t="n">
        <v>48</v>
      </c>
      <c r="B66" s="21" t="n">
        <f aca="false">F65</f>
        <v>143019.34898681</v>
      </c>
      <c r="C66" s="21" t="n">
        <f aca="false">IF(A66&lt;=$B$8,$B$13,$B$14)</f>
        <v>4146.97982426132</v>
      </c>
      <c r="D66" s="21" t="n">
        <f aca="false">B66*$B$11</f>
        <v>536.322558700537</v>
      </c>
      <c r="E66" s="21" t="n">
        <f aca="false">C66-D66</f>
        <v>3610.65726556078</v>
      </c>
      <c r="F66" s="21" t="n">
        <f aca="false">B66-E66</f>
        <v>139408.691721249</v>
      </c>
      <c r="G66" s="28" t="n">
        <f aca="false">INT((A66-1)/12)+1</f>
        <v>4</v>
      </c>
    </row>
    <row r="67" customFormat="false" ht="15" hidden="false" customHeight="false" outlineLevel="0" collapsed="false">
      <c r="A67" s="28" t="n">
        <v>49</v>
      </c>
      <c r="B67" s="21" t="n">
        <f aca="false">F66</f>
        <v>139408.691721249</v>
      </c>
      <c r="C67" s="21" t="n">
        <f aca="false">IF(A67&lt;=$B$8,$B$13,$B$14)</f>
        <v>4146.97982426132</v>
      </c>
      <c r="D67" s="21" t="n">
        <f aca="false">B67*$B$11</f>
        <v>522.782593954684</v>
      </c>
      <c r="E67" s="21" t="n">
        <f aca="false">C67-D67</f>
        <v>3624.19723030663</v>
      </c>
      <c r="F67" s="21" t="n">
        <f aca="false">B67-E67</f>
        <v>135784.494490942</v>
      </c>
      <c r="G67" s="28" t="n">
        <f aca="false">INT((A67-1)/12)+1</f>
        <v>5</v>
      </c>
    </row>
    <row r="68" customFormat="false" ht="15" hidden="false" customHeight="false" outlineLevel="0" collapsed="false">
      <c r="A68" s="28" t="n">
        <v>50</v>
      </c>
      <c r="B68" s="21" t="n">
        <f aca="false">F67</f>
        <v>135784.494490942</v>
      </c>
      <c r="C68" s="21" t="n">
        <f aca="false">IF(A68&lt;=$B$8,$B$13,$B$14)</f>
        <v>4146.97982426132</v>
      </c>
      <c r="D68" s="21" t="n">
        <f aca="false">B68*$B$11</f>
        <v>509.191854341034</v>
      </c>
      <c r="E68" s="21" t="n">
        <f aca="false">C68-D68</f>
        <v>3637.78796992028</v>
      </c>
      <c r="F68" s="21" t="n">
        <f aca="false">B68-E68</f>
        <v>132146.706521022</v>
      </c>
      <c r="G68" s="28" t="n">
        <f aca="false">INT((A68-1)/12)+1</f>
        <v>5</v>
      </c>
    </row>
    <row r="69" customFormat="false" ht="15" hidden="false" customHeight="false" outlineLevel="0" collapsed="false">
      <c r="A69" s="28" t="n">
        <v>51</v>
      </c>
      <c r="B69" s="21" t="n">
        <f aca="false">F68</f>
        <v>132146.706521022</v>
      </c>
      <c r="C69" s="21" t="n">
        <f aca="false">IF(A69&lt;=$B$8,$B$13,$B$14)</f>
        <v>4146.97982426132</v>
      </c>
      <c r="D69" s="21" t="n">
        <f aca="false">B69*$B$11</f>
        <v>495.550149453833</v>
      </c>
      <c r="E69" s="21" t="n">
        <f aca="false">C69-D69</f>
        <v>3651.42967480748</v>
      </c>
      <c r="F69" s="21" t="n">
        <f aca="false">B69-E69</f>
        <v>128495.276846215</v>
      </c>
      <c r="G69" s="28" t="n">
        <f aca="false">INT((A69-1)/12)+1</f>
        <v>5</v>
      </c>
    </row>
    <row r="70" customFormat="false" ht="15" hidden="false" customHeight="false" outlineLevel="0" collapsed="false">
      <c r="A70" s="28" t="n">
        <v>52</v>
      </c>
      <c r="B70" s="21" t="n">
        <f aca="false">F69</f>
        <v>128495.276846215</v>
      </c>
      <c r="C70" s="21" t="n">
        <f aca="false">IF(A70&lt;=$B$8,$B$13,$B$14)</f>
        <v>4146.97982426132</v>
      </c>
      <c r="D70" s="21" t="n">
        <f aca="false">B70*$B$11</f>
        <v>481.857288173305</v>
      </c>
      <c r="E70" s="21" t="n">
        <f aca="false">C70-D70</f>
        <v>3665.12253608801</v>
      </c>
      <c r="F70" s="21" t="n">
        <f aca="false">B70-E70</f>
        <v>124830.154310127</v>
      </c>
      <c r="G70" s="28" t="n">
        <f aca="false">INT((A70-1)/12)+1</f>
        <v>5</v>
      </c>
    </row>
    <row r="71" customFormat="false" ht="15" hidden="false" customHeight="false" outlineLevel="0" collapsed="false">
      <c r="A71" s="28" t="n">
        <v>53</v>
      </c>
      <c r="B71" s="21" t="n">
        <f aca="false">F70</f>
        <v>124830.154310127</v>
      </c>
      <c r="C71" s="21" t="n">
        <f aca="false">IF(A71&lt;=$B$8,$B$13,$B$14)</f>
        <v>4146.97982426132</v>
      </c>
      <c r="D71" s="21" t="n">
        <f aca="false">B71*$B$11</f>
        <v>468.113078662975</v>
      </c>
      <c r="E71" s="21" t="n">
        <f aca="false">C71-D71</f>
        <v>3678.86674559834</v>
      </c>
      <c r="F71" s="21" t="n">
        <f aca="false">B71-E71</f>
        <v>121151.287564528</v>
      </c>
      <c r="G71" s="28" t="n">
        <f aca="false">INT((A71-1)/12)+1</f>
        <v>5</v>
      </c>
    </row>
    <row r="72" customFormat="false" ht="15" hidden="false" customHeight="false" outlineLevel="0" collapsed="false">
      <c r="A72" s="28" t="n">
        <v>54</v>
      </c>
      <c r="B72" s="21" t="n">
        <f aca="false">F71</f>
        <v>121151.287564528</v>
      </c>
      <c r="C72" s="21" t="n">
        <f aca="false">IF(A72&lt;=$B$8,$B$13,$B$14)</f>
        <v>4146.97982426132</v>
      </c>
      <c r="D72" s="21" t="n">
        <f aca="false">B72*$B$11</f>
        <v>454.317328366981</v>
      </c>
      <c r="E72" s="21" t="n">
        <f aca="false">C72-D72</f>
        <v>3692.66249589434</v>
      </c>
      <c r="F72" s="21" t="n">
        <f aca="false">B72-E72</f>
        <v>117458.625068634</v>
      </c>
      <c r="G72" s="28" t="n">
        <f aca="false">INT((A72-1)/12)+1</f>
        <v>5</v>
      </c>
    </row>
    <row r="73" customFormat="false" ht="15" hidden="false" customHeight="false" outlineLevel="0" collapsed="false">
      <c r="A73" s="28" t="n">
        <v>55</v>
      </c>
      <c r="B73" s="21" t="n">
        <f aca="false">F72</f>
        <v>117458.625068634</v>
      </c>
      <c r="C73" s="21" t="n">
        <f aca="false">IF(A73&lt;=$B$8,$B$13,$B$14)</f>
        <v>4146.97982426132</v>
      </c>
      <c r="D73" s="21" t="n">
        <f aca="false">B73*$B$11</f>
        <v>440.469844007377</v>
      </c>
      <c r="E73" s="21" t="n">
        <f aca="false">C73-D73</f>
        <v>3706.50998025394</v>
      </c>
      <c r="F73" s="21" t="n">
        <f aca="false">B73-E73</f>
        <v>113752.11508838</v>
      </c>
      <c r="G73" s="28" t="n">
        <f aca="false">INT((A73-1)/12)+1</f>
        <v>5</v>
      </c>
    </row>
    <row r="74" customFormat="false" ht="15" hidden="false" customHeight="false" outlineLevel="0" collapsed="false">
      <c r="A74" s="28" t="n">
        <v>56</v>
      </c>
      <c r="B74" s="21" t="n">
        <f aca="false">F73</f>
        <v>113752.11508838</v>
      </c>
      <c r="C74" s="21" t="n">
        <f aca="false">IF(A74&lt;=$B$8,$B$13,$B$14)</f>
        <v>4146.97982426132</v>
      </c>
      <c r="D74" s="21" t="n">
        <f aca="false">B74*$B$11</f>
        <v>426.570431581425</v>
      </c>
      <c r="E74" s="21" t="n">
        <f aca="false">C74-D74</f>
        <v>3720.40939267989</v>
      </c>
      <c r="F74" s="21" t="n">
        <f aca="false">B74-E74</f>
        <v>110031.7056957</v>
      </c>
      <c r="G74" s="28" t="n">
        <f aca="false">INT((A74-1)/12)+1</f>
        <v>5</v>
      </c>
    </row>
    <row r="75" customFormat="false" ht="15" hidden="false" customHeight="false" outlineLevel="0" collapsed="false">
      <c r="A75" s="28" t="n">
        <v>57</v>
      </c>
      <c r="B75" s="21" t="n">
        <f aca="false">F74</f>
        <v>110031.7056957</v>
      </c>
      <c r="C75" s="21" t="n">
        <f aca="false">IF(A75&lt;=$B$8,$B$13,$B$14)</f>
        <v>4146.97982426132</v>
      </c>
      <c r="D75" s="21" t="n">
        <f aca="false">B75*$B$11</f>
        <v>412.618896358876</v>
      </c>
      <c r="E75" s="21" t="n">
        <f aca="false">C75-D75</f>
        <v>3734.36092790244</v>
      </c>
      <c r="F75" s="21" t="n">
        <f aca="false">B75-E75</f>
        <v>106297.344767798</v>
      </c>
      <c r="G75" s="28" t="n">
        <f aca="false">INT((A75-1)/12)+1</f>
        <v>5</v>
      </c>
    </row>
    <row r="76" customFormat="false" ht="15" hidden="false" customHeight="false" outlineLevel="0" collapsed="false">
      <c r="A76" s="28" t="n">
        <v>58</v>
      </c>
      <c r="B76" s="21" t="n">
        <f aca="false">F75</f>
        <v>106297.344767798</v>
      </c>
      <c r="C76" s="21" t="n">
        <f aca="false">IF(A76&lt;=$B$8,$B$13,$B$14)</f>
        <v>4146.97982426132</v>
      </c>
      <c r="D76" s="21" t="n">
        <f aca="false">B76*$B$11</f>
        <v>398.615042879241</v>
      </c>
      <c r="E76" s="21" t="n">
        <f aca="false">C76-D76</f>
        <v>3748.36478138208</v>
      </c>
      <c r="F76" s="21" t="n">
        <f aca="false">B76-E76</f>
        <v>102548.979986416</v>
      </c>
      <c r="G76" s="28" t="n">
        <f aca="false">INT((A76-1)/12)+1</f>
        <v>5</v>
      </c>
    </row>
    <row r="77" customFormat="false" ht="15" hidden="false" customHeight="false" outlineLevel="0" collapsed="false">
      <c r="A77" s="28" t="n">
        <v>59</v>
      </c>
      <c r="B77" s="21" t="n">
        <f aca="false">F76</f>
        <v>102548.979986416</v>
      </c>
      <c r="C77" s="21" t="n">
        <f aca="false">IF(A77&lt;=$B$8,$B$13,$B$14)</f>
        <v>4146.97982426132</v>
      </c>
      <c r="D77" s="21" t="n">
        <f aca="false">B77*$B$11</f>
        <v>384.558674949059</v>
      </c>
      <c r="E77" s="21" t="n">
        <f aca="false">C77-D77</f>
        <v>3762.42114931226</v>
      </c>
      <c r="F77" s="21" t="n">
        <f aca="false">B77-E77</f>
        <v>98786.5588371034</v>
      </c>
      <c r="G77" s="28" t="n">
        <f aca="false">INT((A77-1)/12)+1</f>
        <v>5</v>
      </c>
    </row>
    <row r="78" customFormat="false" ht="15" hidden="false" customHeight="false" outlineLevel="0" collapsed="false">
      <c r="A78" s="28" t="n">
        <v>60</v>
      </c>
      <c r="B78" s="21" t="n">
        <f aca="false">F77</f>
        <v>98786.5588371034</v>
      </c>
      <c r="C78" s="21" t="n">
        <f aca="false">IF(A78&lt;=$B$8,$B$13,$B$14)</f>
        <v>4146.97982426132</v>
      </c>
      <c r="D78" s="21" t="n">
        <f aca="false">B78*$B$11</f>
        <v>370.449595639138</v>
      </c>
      <c r="E78" s="21" t="n">
        <f aca="false">C78-D78</f>
        <v>3776.53022862218</v>
      </c>
      <c r="F78" s="21" t="n">
        <f aca="false">B78-E78</f>
        <v>95010.0286084812</v>
      </c>
      <c r="G78" s="28" t="n">
        <f aca="false">INT((A78-1)/12)+1</f>
        <v>5</v>
      </c>
    </row>
    <row r="79" customFormat="false" ht="15" hidden="false" customHeight="false" outlineLevel="0" collapsed="false">
      <c r="A79" s="28" t="n">
        <v>61</v>
      </c>
      <c r="B79" s="21" t="n">
        <f aca="false">F78</f>
        <v>95010.0286084812</v>
      </c>
      <c r="C79" s="21" t="n">
        <f aca="false">IF(A79&lt;=$B$8,$B$13,$B$14)</f>
        <v>4146.97982426132</v>
      </c>
      <c r="D79" s="21" t="n">
        <f aca="false">B79*$B$11</f>
        <v>356.287607281805</v>
      </c>
      <c r="E79" s="21" t="n">
        <f aca="false">C79-D79</f>
        <v>3790.69221697951</v>
      </c>
      <c r="F79" s="21" t="n">
        <f aca="false">B79-E79</f>
        <v>91219.3363915017</v>
      </c>
      <c r="G79" s="28" t="n">
        <f aca="false">INT((A79-1)/12)+1</f>
        <v>6</v>
      </c>
    </row>
    <row r="80" customFormat="false" ht="15" hidden="false" customHeight="false" outlineLevel="0" collapsed="false">
      <c r="A80" s="28" t="n">
        <v>62</v>
      </c>
      <c r="B80" s="21" t="n">
        <f aca="false">F79</f>
        <v>91219.3363915017</v>
      </c>
      <c r="C80" s="21" t="n">
        <f aca="false">IF(A80&lt;=$B$8,$B$13,$B$14)</f>
        <v>4146.97982426132</v>
      </c>
      <c r="D80" s="21" t="n">
        <f aca="false">B80*$B$11</f>
        <v>342.072511468131</v>
      </c>
      <c r="E80" s="21" t="n">
        <f aca="false">C80-D80</f>
        <v>3804.90731279319</v>
      </c>
      <c r="F80" s="21" t="n">
        <f aca="false">B80-E80</f>
        <v>87414.4290787085</v>
      </c>
      <c r="G80" s="28" t="n">
        <f aca="false">INT((A80-1)/12)+1</f>
        <v>6</v>
      </c>
    </row>
    <row r="81" customFormat="false" ht="15" hidden="false" customHeight="false" outlineLevel="0" collapsed="false">
      <c r="A81" s="28" t="n">
        <v>63</v>
      </c>
      <c r="B81" s="21" t="n">
        <f aca="false">F80</f>
        <v>87414.4290787085</v>
      </c>
      <c r="C81" s="21" t="n">
        <f aca="false">IF(A81&lt;=$B$8,$B$13,$B$14)</f>
        <v>4146.97982426132</v>
      </c>
      <c r="D81" s="21" t="n">
        <f aca="false">B81*$B$11</f>
        <v>327.804109045157</v>
      </c>
      <c r="E81" s="21" t="n">
        <f aca="false">C81-D81</f>
        <v>3819.17571521616</v>
      </c>
      <c r="F81" s="21" t="n">
        <f aca="false">B81-E81</f>
        <v>83595.2533634924</v>
      </c>
      <c r="G81" s="28" t="n">
        <f aca="false">INT((A81-1)/12)+1</f>
        <v>6</v>
      </c>
    </row>
    <row r="82" customFormat="false" ht="15" hidden="false" customHeight="false" outlineLevel="0" collapsed="false">
      <c r="A82" s="28" t="n">
        <v>64</v>
      </c>
      <c r="B82" s="21" t="n">
        <f aca="false">F81</f>
        <v>83595.2533634924</v>
      </c>
      <c r="C82" s="21" t="n">
        <f aca="false">IF(A82&lt;=$B$8,$B$13,$B$14)</f>
        <v>4146.97982426132</v>
      </c>
      <c r="D82" s="21" t="n">
        <f aca="false">B82*$B$11</f>
        <v>313.482200113096</v>
      </c>
      <c r="E82" s="21" t="n">
        <f aca="false">C82-D82</f>
        <v>3833.49762414822</v>
      </c>
      <c r="F82" s="21" t="n">
        <f aca="false">B82-E82</f>
        <v>79761.7557393441</v>
      </c>
      <c r="G82" s="28" t="n">
        <f aca="false">INT((A82-1)/12)+1</f>
        <v>6</v>
      </c>
    </row>
    <row r="83" customFormat="false" ht="15" hidden="false" customHeight="false" outlineLevel="0" collapsed="false">
      <c r="A83" s="28" t="n">
        <v>65</v>
      </c>
      <c r="B83" s="21" t="n">
        <f aca="false">F82</f>
        <v>79761.7557393441</v>
      </c>
      <c r="C83" s="21" t="n">
        <f aca="false">IF(A83&lt;=$B$8,$B$13,$B$14)</f>
        <v>4146.97982426132</v>
      </c>
      <c r="D83" s="21" t="n">
        <f aca="false">B83*$B$11</f>
        <v>299.10658402254</v>
      </c>
      <c r="E83" s="21" t="n">
        <f aca="false">C83-D83</f>
        <v>3847.87324023878</v>
      </c>
      <c r="F83" s="21" t="n">
        <f aca="false">B83-E83</f>
        <v>75913.8824991053</v>
      </c>
      <c r="G83" s="28" t="n">
        <f aca="false">INT((A83-1)/12)+1</f>
        <v>6</v>
      </c>
    </row>
    <row r="84" customFormat="false" ht="15" hidden="false" customHeight="false" outlineLevel="0" collapsed="false">
      <c r="A84" s="28" t="n">
        <v>66</v>
      </c>
      <c r="B84" s="21" t="n">
        <f aca="false">F83</f>
        <v>75913.8824991053</v>
      </c>
      <c r="C84" s="21" t="n">
        <f aca="false">IF(A84&lt;=$B$8,$B$13,$B$14)</f>
        <v>4146.97982426132</v>
      </c>
      <c r="D84" s="21" t="n">
        <f aca="false">B84*$B$11</f>
        <v>284.677059371645</v>
      </c>
      <c r="E84" s="21" t="n">
        <f aca="false">C84-D84</f>
        <v>3862.30276488967</v>
      </c>
      <c r="F84" s="21" t="n">
        <f aca="false">B84-E84</f>
        <v>72051.5797342157</v>
      </c>
      <c r="G84" s="28" t="n">
        <f aca="false">INT((A84-1)/12)+1</f>
        <v>6</v>
      </c>
    </row>
    <row r="85" customFormat="false" ht="15" hidden="false" customHeight="false" outlineLevel="0" collapsed="false">
      <c r="A85" s="28" t="n">
        <v>67</v>
      </c>
      <c r="B85" s="21" t="n">
        <f aca="false">F84</f>
        <v>72051.5797342157</v>
      </c>
      <c r="C85" s="21" t="n">
        <f aca="false">IF(A85&lt;=$B$8,$B$13,$B$14)</f>
        <v>4146.97982426132</v>
      </c>
      <c r="D85" s="21" t="n">
        <f aca="false">B85*$B$11</f>
        <v>270.193424003309</v>
      </c>
      <c r="E85" s="21" t="n">
        <f aca="false">C85-D85</f>
        <v>3876.78640025801</v>
      </c>
      <c r="F85" s="21" t="n">
        <f aca="false">B85-E85</f>
        <v>68174.7933339577</v>
      </c>
      <c r="G85" s="28" t="n">
        <f aca="false">INT((A85-1)/12)+1</f>
        <v>6</v>
      </c>
    </row>
    <row r="86" customFormat="false" ht="15" hidden="false" customHeight="false" outlineLevel="0" collapsed="false">
      <c r="A86" s="28" t="n">
        <v>68</v>
      </c>
      <c r="B86" s="21" t="n">
        <f aca="false">F85</f>
        <v>68174.7933339577</v>
      </c>
      <c r="C86" s="21" t="n">
        <f aca="false">IF(A86&lt;=$B$8,$B$13,$B$14)</f>
        <v>4146.97982426132</v>
      </c>
      <c r="D86" s="21" t="n">
        <f aca="false">B86*$B$11</f>
        <v>255.655475002341</v>
      </c>
      <c r="E86" s="21" t="n">
        <f aca="false">C86-D86</f>
        <v>3891.32434925898</v>
      </c>
      <c r="F86" s="21" t="n">
        <f aca="false">B86-E86</f>
        <v>64283.4689846987</v>
      </c>
      <c r="G86" s="28" t="n">
        <f aca="false">INT((A86-1)/12)+1</f>
        <v>6</v>
      </c>
    </row>
    <row r="87" customFormat="false" ht="15" hidden="false" customHeight="false" outlineLevel="0" collapsed="false">
      <c r="A87" s="28" t="n">
        <v>69</v>
      </c>
      <c r="B87" s="21" t="n">
        <f aca="false">F86</f>
        <v>64283.4689846987</v>
      </c>
      <c r="C87" s="21" t="n">
        <f aca="false">IF(A87&lt;=$B$8,$B$13,$B$14)</f>
        <v>4146.97982426132</v>
      </c>
      <c r="D87" s="21" t="n">
        <f aca="false">B87*$B$11</f>
        <v>241.06300869262</v>
      </c>
      <c r="E87" s="21" t="n">
        <f aca="false">C87-D87</f>
        <v>3905.9168155687</v>
      </c>
      <c r="F87" s="21" t="n">
        <f aca="false">B87-E87</f>
        <v>60377.55216913</v>
      </c>
      <c r="G87" s="28" t="n">
        <f aca="false">INT((A87-1)/12)+1</f>
        <v>6</v>
      </c>
    </row>
    <row r="88" customFormat="false" ht="15" hidden="false" customHeight="false" outlineLevel="0" collapsed="false">
      <c r="A88" s="28" t="n">
        <v>70</v>
      </c>
      <c r="B88" s="21" t="n">
        <f aca="false">F87</f>
        <v>60377.55216913</v>
      </c>
      <c r="C88" s="21" t="n">
        <f aca="false">IF(A88&lt;=$B$8,$B$13,$B$14)</f>
        <v>4146.97982426132</v>
      </c>
      <c r="D88" s="21" t="n">
        <f aca="false">B88*$B$11</f>
        <v>226.415820634237</v>
      </c>
      <c r="E88" s="21" t="n">
        <f aca="false">C88-D88</f>
        <v>3920.56400362708</v>
      </c>
      <c r="F88" s="21" t="n">
        <f aca="false">B88-E88</f>
        <v>56456.9881655029</v>
      </c>
      <c r="G88" s="28" t="n">
        <f aca="false">INT((A88-1)/12)+1</f>
        <v>6</v>
      </c>
    </row>
    <row r="89" customFormat="false" ht="15" hidden="false" customHeight="false" outlineLevel="0" collapsed="false">
      <c r="A89" s="28" t="n">
        <v>71</v>
      </c>
      <c r="B89" s="21" t="n">
        <f aca="false">F88</f>
        <v>56456.9881655029</v>
      </c>
      <c r="C89" s="21" t="n">
        <f aca="false">IF(A89&lt;=$B$8,$B$13,$B$14)</f>
        <v>4146.97982426132</v>
      </c>
      <c r="D89" s="21" t="n">
        <f aca="false">B89*$B$11</f>
        <v>211.713705620636</v>
      </c>
      <c r="E89" s="21" t="n">
        <f aca="false">C89-D89</f>
        <v>3935.26611864068</v>
      </c>
      <c r="F89" s="21" t="n">
        <f aca="false">B89-E89</f>
        <v>52521.7220468622</v>
      </c>
      <c r="G89" s="28" t="n">
        <f aca="false">INT((A89-1)/12)+1</f>
        <v>6</v>
      </c>
    </row>
    <row r="90" customFormat="false" ht="15" hidden="false" customHeight="false" outlineLevel="0" collapsed="false">
      <c r="A90" s="28" t="n">
        <v>72</v>
      </c>
      <c r="B90" s="21" t="n">
        <f aca="false">F89</f>
        <v>52521.7220468622</v>
      </c>
      <c r="C90" s="21" t="n">
        <f aca="false">IF(A90&lt;=$B$8,$B$13,$B$14)</f>
        <v>4146.97982426132</v>
      </c>
      <c r="D90" s="21" t="n">
        <f aca="false">B90*$B$11</f>
        <v>196.956457675733</v>
      </c>
      <c r="E90" s="21" t="n">
        <f aca="false">C90-D90</f>
        <v>3950.02336658558</v>
      </c>
      <c r="F90" s="21" t="n">
        <f aca="false">B90-E90</f>
        <v>48571.6986802767</v>
      </c>
      <c r="G90" s="28" t="n">
        <f aca="false">INT((A90-1)/12)+1</f>
        <v>6</v>
      </c>
    </row>
    <row r="91" customFormat="false" ht="15" hidden="false" customHeight="false" outlineLevel="0" collapsed="false">
      <c r="A91" s="28" t="n">
        <v>73</v>
      </c>
      <c r="B91" s="21" t="n">
        <f aca="false">F90</f>
        <v>48571.6986802767</v>
      </c>
      <c r="C91" s="21" t="n">
        <f aca="false">IF(A91&lt;=$B$8,$B$13,$B$14)</f>
        <v>4146.97982426132</v>
      </c>
      <c r="D91" s="21" t="n">
        <f aca="false">B91*$B$11</f>
        <v>182.143870051037</v>
      </c>
      <c r="E91" s="21" t="n">
        <f aca="false">C91-D91</f>
        <v>3964.83595421028</v>
      </c>
      <c r="F91" s="21" t="n">
        <f aca="false">B91-E91</f>
        <v>44606.8627260664</v>
      </c>
      <c r="G91" s="28" t="n">
        <f aca="false">INT((A91-1)/12)+1</f>
        <v>7</v>
      </c>
    </row>
    <row r="92" customFormat="false" ht="15" hidden="false" customHeight="false" outlineLevel="0" collapsed="false">
      <c r="A92" s="28" t="n">
        <v>74</v>
      </c>
      <c r="B92" s="21" t="n">
        <f aca="false">F91</f>
        <v>44606.8627260664</v>
      </c>
      <c r="C92" s="21" t="n">
        <f aca="false">IF(A92&lt;=$B$8,$B$13,$B$14)</f>
        <v>4146.97982426132</v>
      </c>
      <c r="D92" s="21" t="n">
        <f aca="false">B92*$B$11</f>
        <v>167.275735222749</v>
      </c>
      <c r="E92" s="21" t="n">
        <f aca="false">C92-D92</f>
        <v>3979.70408903857</v>
      </c>
      <c r="F92" s="21" t="n">
        <f aca="false">B92-E92</f>
        <v>40627.1586370278</v>
      </c>
      <c r="G92" s="28" t="n">
        <f aca="false">INT((A92-1)/12)+1</f>
        <v>7</v>
      </c>
    </row>
    <row r="93" customFormat="false" ht="15" hidden="false" customHeight="false" outlineLevel="0" collapsed="false">
      <c r="A93" s="28" t="n">
        <v>75</v>
      </c>
      <c r="B93" s="21" t="n">
        <f aca="false">F92</f>
        <v>40627.1586370278</v>
      </c>
      <c r="C93" s="21" t="n">
        <f aca="false">IF(A93&lt;=$B$8,$B$13,$B$14)</f>
        <v>4146.97982426132</v>
      </c>
      <c r="D93" s="21" t="n">
        <f aca="false">B93*$B$11</f>
        <v>152.351844888854</v>
      </c>
      <c r="E93" s="21" t="n">
        <f aca="false">C93-D93</f>
        <v>3994.62797937246</v>
      </c>
      <c r="F93" s="21" t="n">
        <f aca="false">B93-E93</f>
        <v>36632.5306576553</v>
      </c>
      <c r="G93" s="28" t="n">
        <f aca="false">INT((A93-1)/12)+1</f>
        <v>7</v>
      </c>
    </row>
    <row r="94" customFormat="false" ht="15" hidden="false" customHeight="false" outlineLevel="0" collapsed="false">
      <c r="A94" s="28" t="n">
        <v>76</v>
      </c>
      <c r="B94" s="21" t="n">
        <f aca="false">F93</f>
        <v>36632.5306576553</v>
      </c>
      <c r="C94" s="21" t="n">
        <f aca="false">IF(A94&lt;=$B$8,$B$13,$B$14)</f>
        <v>4146.97982426132</v>
      </c>
      <c r="D94" s="21" t="n">
        <f aca="false">B94*$B$11</f>
        <v>137.371989966208</v>
      </c>
      <c r="E94" s="21" t="n">
        <f aca="false">C94-D94</f>
        <v>4009.60783429511</v>
      </c>
      <c r="F94" s="21" t="n">
        <f aca="false">B94-E94</f>
        <v>32622.9228233602</v>
      </c>
      <c r="G94" s="28" t="n">
        <f aca="false">INT((A94-1)/12)+1</f>
        <v>7</v>
      </c>
    </row>
    <row r="95" customFormat="false" ht="15" hidden="false" customHeight="false" outlineLevel="0" collapsed="false">
      <c r="A95" s="28" t="n">
        <v>77</v>
      </c>
      <c r="B95" s="21" t="n">
        <f aca="false">F94</f>
        <v>32622.9228233602</v>
      </c>
      <c r="C95" s="21" t="n">
        <f aca="false">IF(A95&lt;=$B$8,$B$13,$B$14)</f>
        <v>4146.97982426132</v>
      </c>
      <c r="D95" s="21" t="n">
        <f aca="false">B95*$B$11</f>
        <v>122.335960587601</v>
      </c>
      <c r="E95" s="21" t="n">
        <f aca="false">C95-D95</f>
        <v>4024.64386367372</v>
      </c>
      <c r="F95" s="21" t="n">
        <f aca="false">B95-E95</f>
        <v>28598.2789596865</v>
      </c>
      <c r="G95" s="28" t="n">
        <f aca="false">INT((A95-1)/12)+1</f>
        <v>7</v>
      </c>
    </row>
    <row r="96" customFormat="false" ht="15" hidden="false" customHeight="false" outlineLevel="0" collapsed="false">
      <c r="A96" s="28" t="n">
        <v>78</v>
      </c>
      <c r="B96" s="21" t="n">
        <f aca="false">F95</f>
        <v>28598.2789596865</v>
      </c>
      <c r="C96" s="21" t="n">
        <f aca="false">IF(A96&lt;=$B$8,$B$13,$B$14)</f>
        <v>4146.97982426132</v>
      </c>
      <c r="D96" s="21" t="n">
        <f aca="false">B96*$B$11</f>
        <v>107.243546098824</v>
      </c>
      <c r="E96" s="21" t="n">
        <f aca="false">C96-D96</f>
        <v>4039.73627816249</v>
      </c>
      <c r="F96" s="21" t="n">
        <f aca="false">B96-E96</f>
        <v>24558.542681524</v>
      </c>
      <c r="G96" s="28" t="n">
        <f aca="false">INT((A96-1)/12)+1</f>
        <v>7</v>
      </c>
    </row>
    <row r="97" customFormat="false" ht="15" hidden="false" customHeight="false" outlineLevel="0" collapsed="false">
      <c r="A97" s="28" t="n">
        <v>79</v>
      </c>
      <c r="B97" s="21" t="n">
        <f aca="false">F96</f>
        <v>24558.542681524</v>
      </c>
      <c r="C97" s="21" t="n">
        <f aca="false">IF(A97&lt;=$B$8,$B$13,$B$14)</f>
        <v>4146.97982426132</v>
      </c>
      <c r="D97" s="21" t="n">
        <f aca="false">B97*$B$11</f>
        <v>92.0945350557151</v>
      </c>
      <c r="E97" s="21" t="n">
        <f aca="false">C97-D97</f>
        <v>4054.8852892056</v>
      </c>
      <c r="F97" s="21" t="n">
        <f aca="false">B97-E97</f>
        <v>20503.6573923184</v>
      </c>
      <c r="G97" s="28" t="n">
        <f aca="false">INT((A97-1)/12)+1</f>
        <v>7</v>
      </c>
    </row>
    <row r="98" customFormat="false" ht="15" hidden="false" customHeight="false" outlineLevel="0" collapsed="false">
      <c r="A98" s="28" t="n">
        <v>80</v>
      </c>
      <c r="B98" s="21" t="n">
        <f aca="false">F97</f>
        <v>20503.6573923184</v>
      </c>
      <c r="C98" s="21" t="n">
        <f aca="false">IF(A98&lt;=$B$8,$B$13,$B$14)</f>
        <v>4146.97982426132</v>
      </c>
      <c r="D98" s="21" t="n">
        <f aca="false">B98*$B$11</f>
        <v>76.8887152211941</v>
      </c>
      <c r="E98" s="21" t="n">
        <f aca="false">C98-D98</f>
        <v>4070.09110904012</v>
      </c>
      <c r="F98" s="21" t="n">
        <f aca="false">B98-E98</f>
        <v>16433.5662832783</v>
      </c>
      <c r="G98" s="28" t="n">
        <f aca="false">INT((A98-1)/12)+1</f>
        <v>7</v>
      </c>
    </row>
    <row r="99" customFormat="false" ht="15" hidden="false" customHeight="false" outlineLevel="0" collapsed="false">
      <c r="A99" s="28" t="n">
        <v>81</v>
      </c>
      <c r="B99" s="21" t="n">
        <f aca="false">F98</f>
        <v>16433.5662832783</v>
      </c>
      <c r="C99" s="21" t="n">
        <f aca="false">IF(A99&lt;=$B$8,$B$13,$B$14)</f>
        <v>4146.97982426132</v>
      </c>
      <c r="D99" s="21" t="n">
        <f aca="false">B99*$B$11</f>
        <v>61.6258735622936</v>
      </c>
      <c r="E99" s="21" t="n">
        <f aca="false">C99-D99</f>
        <v>4085.35395069902</v>
      </c>
      <c r="F99" s="21" t="n">
        <f aca="false">B99-E99</f>
        <v>12348.2123325793</v>
      </c>
      <c r="G99" s="28" t="n">
        <f aca="false">INT((A99-1)/12)+1</f>
        <v>7</v>
      </c>
    </row>
    <row r="100" customFormat="false" ht="15" hidden="false" customHeight="false" outlineLevel="0" collapsed="false">
      <c r="A100" s="28" t="n">
        <v>82</v>
      </c>
      <c r="B100" s="21" t="n">
        <f aca="false">F99</f>
        <v>12348.2123325793</v>
      </c>
      <c r="C100" s="21" t="n">
        <f aca="false">IF(A100&lt;=$B$8,$B$13,$B$14)</f>
        <v>4146.97982426132</v>
      </c>
      <c r="D100" s="21" t="n">
        <f aca="false">B100*$B$11</f>
        <v>46.3057962471723</v>
      </c>
      <c r="E100" s="21" t="n">
        <f aca="false">C100-D100</f>
        <v>4100.67402801415</v>
      </c>
      <c r="F100" s="21" t="n">
        <f aca="false">B100-E100</f>
        <v>8247.53830456513</v>
      </c>
      <c r="G100" s="28" t="n">
        <f aca="false">INT((A100-1)/12)+1</f>
        <v>7</v>
      </c>
    </row>
    <row r="101" customFormat="false" ht="15" hidden="false" customHeight="false" outlineLevel="0" collapsed="false">
      <c r="A101" s="28" t="n">
        <v>83</v>
      </c>
      <c r="B101" s="21" t="n">
        <f aca="false">F100</f>
        <v>8247.53830456513</v>
      </c>
      <c r="C101" s="21" t="n">
        <f aca="false">IF(A101&lt;=$B$8,$B$13,$B$14)</f>
        <v>4146.97982426132</v>
      </c>
      <c r="D101" s="21" t="n">
        <f aca="false">B101*$B$11</f>
        <v>30.9282686421192</v>
      </c>
      <c r="E101" s="21" t="n">
        <f aca="false">C101-D101</f>
        <v>4116.0515556192</v>
      </c>
      <c r="F101" s="21" t="n">
        <f aca="false">B101-E101</f>
        <v>4131.48674894594</v>
      </c>
      <c r="G101" s="28" t="n">
        <f aca="false">INT((A101-1)/12)+1</f>
        <v>7</v>
      </c>
    </row>
    <row r="102" customFormat="false" ht="15" hidden="false" customHeight="false" outlineLevel="0" collapsed="false">
      <c r="A102" s="28" t="n">
        <v>84</v>
      </c>
      <c r="B102" s="21" t="n">
        <f aca="false">F101</f>
        <v>4131.48674894594</v>
      </c>
      <c r="C102" s="21" t="n">
        <f aca="false">IF(A102&lt;=$B$8,$B$13,$B$14)</f>
        <v>4146.97982426132</v>
      </c>
      <c r="D102" s="21" t="n">
        <f aca="false">B102*$B$11</f>
        <v>15.4930753085473</v>
      </c>
      <c r="E102" s="21" t="n">
        <f aca="false">C102-D102</f>
        <v>4131.48674895277</v>
      </c>
      <c r="F102" s="21" t="n">
        <f aca="false">B102-E102</f>
        <v>-6.83485268382356E-009</v>
      </c>
      <c r="G102" s="28" t="n">
        <f aca="false">INT((A102-1)/12)+1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3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193</v>
      </c>
    </row>
    <row r="3" customFormat="false" ht="15" hidden="false" customHeight="false" outlineLevel="0" collapsed="false">
      <c r="A3" s="29"/>
      <c r="B3" s="9" t="s">
        <v>194</v>
      </c>
      <c r="C3" s="9" t="s">
        <v>62</v>
      </c>
      <c r="D3" s="9" t="s">
        <v>63</v>
      </c>
      <c r="E3" s="9" t="s">
        <v>64</v>
      </c>
    </row>
    <row r="4" customFormat="false" ht="15" hidden="false" customHeight="false" outlineLevel="0" collapsed="false">
      <c r="A4" s="4" t="s">
        <v>195</v>
      </c>
      <c r="B4" s="22" t="n">
        <f aca="false">Revenue!$B$23</f>
        <v>789110.273444459</v>
      </c>
      <c r="C4" s="22" t="n">
        <f aca="false">Revenue!$E$13*(1+Assumptions!$B$31)</f>
        <v>1090707.39366145</v>
      </c>
      <c r="D4" s="22" t="n">
        <f aca="false">C4*(1+Assumptions!$C$31)</f>
        <v>1156149.83728114</v>
      </c>
      <c r="E4" s="22" t="n">
        <f aca="false">D4*(1+Assumptions!$D$31)</f>
        <v>1202395.83077238</v>
      </c>
      <c r="F4" s="2" t="s">
        <v>196</v>
      </c>
    </row>
    <row r="6" customFormat="false" ht="15" hidden="false" customHeight="false" outlineLevel="0" collapsed="false">
      <c r="A6" s="3" t="s">
        <v>67</v>
      </c>
      <c r="B6" s="21" t="n">
        <f aca="false">B4*Assumptions!$B$34</f>
        <v>213059.773830004</v>
      </c>
      <c r="C6" s="21" t="n">
        <f aca="false">C4*Assumptions!$B$34</f>
        <v>294490.996288592</v>
      </c>
      <c r="D6" s="21" t="n">
        <f aca="false">D4*Assumptions!$B$34</f>
        <v>312160.456065907</v>
      </c>
      <c r="E6" s="21" t="n">
        <f aca="false">E4*Assumptions!$B$34</f>
        <v>324646.874308544</v>
      </c>
    </row>
    <row r="7" customFormat="false" ht="15" hidden="false" customHeight="false" outlineLevel="0" collapsed="false">
      <c r="A7" s="3" t="s">
        <v>69</v>
      </c>
      <c r="B7" s="21" t="n">
        <f aca="false">B4*Assumptions!$B$35</f>
        <v>7891.10273444459</v>
      </c>
      <c r="C7" s="21" t="n">
        <f aca="false">C4*Assumptions!$B$35</f>
        <v>10907.0739366145</v>
      </c>
      <c r="D7" s="21" t="n">
        <f aca="false">D4*Assumptions!$B$35</f>
        <v>11561.4983728114</v>
      </c>
      <c r="E7" s="21" t="n">
        <f aca="false">E4*Assumptions!$B$35</f>
        <v>12023.9583077238</v>
      </c>
    </row>
    <row r="8" customFormat="false" ht="15" hidden="false" customHeight="false" outlineLevel="0" collapsed="false">
      <c r="A8" s="3" t="s">
        <v>71</v>
      </c>
      <c r="B8" s="21" t="n">
        <f aca="false">B4*Assumptions!$B$36</f>
        <v>7891.10273444459</v>
      </c>
      <c r="C8" s="21" t="n">
        <f aca="false">C4*Assumptions!$B$36</f>
        <v>10907.0739366145</v>
      </c>
      <c r="D8" s="21" t="n">
        <f aca="false">D4*Assumptions!$B$36</f>
        <v>11561.4983728114</v>
      </c>
      <c r="E8" s="21" t="n">
        <f aca="false">E4*Assumptions!$B$36</f>
        <v>12023.9583077238</v>
      </c>
    </row>
    <row r="9" customFormat="false" ht="15" hidden="false" customHeight="false" outlineLevel="0" collapsed="false">
      <c r="A9" s="3" t="s">
        <v>197</v>
      </c>
      <c r="B9" s="21" t="n">
        <f aca="false">B4*Assumptions!$B$37</f>
        <v>7891.10273444459</v>
      </c>
      <c r="C9" s="21" t="n">
        <f aca="false">C4*Assumptions!$B$37</f>
        <v>10907.0739366145</v>
      </c>
      <c r="D9" s="21" t="n">
        <f aca="false">D4*Assumptions!$B$37</f>
        <v>11561.4983728114</v>
      </c>
      <c r="E9" s="21" t="n">
        <f aca="false">E4*Assumptions!$B$37</f>
        <v>12023.9583077238</v>
      </c>
    </row>
    <row r="10" customFormat="false" ht="15" hidden="false" customHeight="false" outlineLevel="0" collapsed="false">
      <c r="A10" s="3" t="s">
        <v>198</v>
      </c>
      <c r="B10" s="21" t="n">
        <f aca="false">SUM(B6:B9)</f>
        <v>236733.082033338</v>
      </c>
      <c r="C10" s="21" t="n">
        <f aca="false">SUM(C6:C9)</f>
        <v>327212.218098435</v>
      </c>
      <c r="D10" s="21" t="n">
        <f aca="false">SUM(D6:D9)</f>
        <v>346844.951184341</v>
      </c>
      <c r="E10" s="21" t="n">
        <f aca="false">SUM(E6:E9)</f>
        <v>360718.749231715</v>
      </c>
    </row>
    <row r="11" customFormat="false" ht="15" hidden="false" customHeight="false" outlineLevel="0" collapsed="false">
      <c r="A11" s="4" t="s">
        <v>199</v>
      </c>
      <c r="B11" s="17" t="n">
        <f aca="false">B4-B10</f>
        <v>552377.191411121</v>
      </c>
      <c r="C11" s="17" t="n">
        <f aca="false">C4-C10</f>
        <v>763495.175563016</v>
      </c>
      <c r="D11" s="17" t="n">
        <f aca="false">D4-D10</f>
        <v>809304.886096797</v>
      </c>
      <c r="E11" s="17" t="n">
        <f aca="false">E4-E10</f>
        <v>841677.081540669</v>
      </c>
    </row>
    <row r="12" customFormat="false" ht="15" hidden="false" customHeight="false" outlineLevel="0" collapsed="false">
      <c r="A12" s="3" t="s">
        <v>200</v>
      </c>
      <c r="B12" s="30" t="n">
        <f aca="false">B11/B4</f>
        <v>0.7</v>
      </c>
      <c r="C12" s="30" t="n">
        <f aca="false">C11/C4</f>
        <v>0.7</v>
      </c>
      <c r="D12" s="30" t="n">
        <f aca="false">D11/D4</f>
        <v>0.7</v>
      </c>
      <c r="E12" s="30" t="n">
        <f aca="false">E11/E4</f>
        <v>0.7</v>
      </c>
    </row>
    <row r="14" customFormat="false" ht="15" hidden="false" customHeight="false" outlineLevel="0" collapsed="false">
      <c r="A14" s="3" t="s">
        <v>74</v>
      </c>
      <c r="B14" s="26" t="n">
        <f aca="false">Assumptions!$B$40</f>
        <v>60000</v>
      </c>
      <c r="C14" s="26" t="n">
        <f aca="false">Assumptions!$B$40</f>
        <v>60000</v>
      </c>
      <c r="D14" s="26" t="n">
        <f aca="false">Assumptions!$B$40</f>
        <v>60000</v>
      </c>
      <c r="E14" s="26" t="n">
        <f aca="false">Assumptions!$B$40</f>
        <v>60000</v>
      </c>
      <c r="F14" s="2" t="s">
        <v>201</v>
      </c>
    </row>
    <row r="15" customFormat="false" ht="15" hidden="false" customHeight="false" outlineLevel="0" collapsed="false">
      <c r="A15" s="3" t="s">
        <v>76</v>
      </c>
      <c r="B15" s="26" t="n">
        <f aca="false">Assumptions!$B$41*1</f>
        <v>6000</v>
      </c>
      <c r="C15" s="26" t="n">
        <f aca="false">Assumptions!$B$41*(1+Assumptions!$B$50)</f>
        <v>6120</v>
      </c>
      <c r="D15" s="26" t="n">
        <f aca="false">Assumptions!$B$41*(1+Assumptions!$B$50)^2</f>
        <v>6242.4</v>
      </c>
      <c r="E15" s="26" t="n">
        <f aca="false">Assumptions!$B$41*(1+Assumptions!$B$50)^3</f>
        <v>6367.248</v>
      </c>
    </row>
    <row r="16" customFormat="false" ht="15" hidden="false" customHeight="false" outlineLevel="0" collapsed="false">
      <c r="A16" s="3" t="s">
        <v>77</v>
      </c>
      <c r="B16" s="26" t="n">
        <f aca="false">Assumptions!$B$42*1</f>
        <v>2000</v>
      </c>
      <c r="C16" s="26" t="n">
        <f aca="false">Assumptions!$B$42*(1+Assumptions!$B$50)</f>
        <v>2040</v>
      </c>
      <c r="D16" s="26" t="n">
        <f aca="false">Assumptions!$B$42*(1+Assumptions!$B$50)^2</f>
        <v>2080.8</v>
      </c>
      <c r="E16" s="26" t="n">
        <f aca="false">Assumptions!$B$42*(1+Assumptions!$B$50)^3</f>
        <v>2122.416</v>
      </c>
    </row>
    <row r="17" customFormat="false" ht="15" hidden="false" customHeight="false" outlineLevel="0" collapsed="false">
      <c r="A17" s="3" t="s">
        <v>78</v>
      </c>
      <c r="B17" s="26" t="n">
        <f aca="false">Assumptions!$B$43*1</f>
        <v>18000</v>
      </c>
      <c r="C17" s="26" t="n">
        <f aca="false">Assumptions!$B$43*(1+Assumptions!$B$50)</f>
        <v>18360</v>
      </c>
      <c r="D17" s="26" t="n">
        <f aca="false">Assumptions!$B$43*(1+Assumptions!$B$50)^2</f>
        <v>18727.2</v>
      </c>
      <c r="E17" s="26" t="n">
        <f aca="false">Assumptions!$B$43*(1+Assumptions!$B$50)^3</f>
        <v>19101.744</v>
      </c>
    </row>
    <row r="18" customFormat="false" ht="15" hidden="false" customHeight="false" outlineLevel="0" collapsed="false">
      <c r="A18" s="3" t="s">
        <v>79</v>
      </c>
      <c r="B18" s="26" t="n">
        <f aca="false">Assumptions!$B$44*1</f>
        <v>2500</v>
      </c>
      <c r="C18" s="26" t="n">
        <f aca="false">Assumptions!$B$44*(1+Assumptions!$B$50)</f>
        <v>2550</v>
      </c>
      <c r="D18" s="26" t="n">
        <f aca="false">Assumptions!$B$44*(1+Assumptions!$B$50)^2</f>
        <v>2601</v>
      </c>
      <c r="E18" s="26" t="n">
        <f aca="false">Assumptions!$B$44*(1+Assumptions!$B$50)^3</f>
        <v>2653.02</v>
      </c>
    </row>
    <row r="19" customFormat="false" ht="15" hidden="false" customHeight="false" outlineLevel="0" collapsed="false">
      <c r="A19" s="3" t="s">
        <v>80</v>
      </c>
      <c r="B19" s="26" t="n">
        <f aca="false">Assumptions!$B$45*1</f>
        <v>3000</v>
      </c>
      <c r="C19" s="26" t="n">
        <f aca="false">Assumptions!$B$45*(1+Assumptions!$B$50)</f>
        <v>3060</v>
      </c>
      <c r="D19" s="26" t="n">
        <f aca="false">Assumptions!$B$45*(1+Assumptions!$B$50)^2</f>
        <v>3121.2</v>
      </c>
      <c r="E19" s="26" t="n">
        <f aca="false">Assumptions!$B$45*(1+Assumptions!$B$50)^3</f>
        <v>3183.624</v>
      </c>
    </row>
    <row r="20" customFormat="false" ht="15" hidden="false" customHeight="false" outlineLevel="0" collapsed="false">
      <c r="A20" s="3" t="s">
        <v>81</v>
      </c>
      <c r="B20" s="26" t="n">
        <f aca="false">Assumptions!$B$46*1</f>
        <v>3000</v>
      </c>
      <c r="C20" s="26" t="n">
        <f aca="false">Assumptions!$B$46*(1+Assumptions!$B$50)</f>
        <v>3060</v>
      </c>
      <c r="D20" s="26" t="n">
        <f aca="false">Assumptions!$B$46*(1+Assumptions!$B$50)^2</f>
        <v>3121.2</v>
      </c>
      <c r="E20" s="26" t="n">
        <f aca="false">Assumptions!$B$46*(1+Assumptions!$B$50)^3</f>
        <v>3183.624</v>
      </c>
    </row>
    <row r="21" customFormat="false" ht="15" hidden="false" customHeight="false" outlineLevel="0" collapsed="false">
      <c r="A21" s="3" t="s">
        <v>82</v>
      </c>
      <c r="B21" s="26" t="n">
        <f aca="false">Assumptions!$B$47*1</f>
        <v>2000</v>
      </c>
      <c r="C21" s="26" t="n">
        <f aca="false">Assumptions!$B$47*(1+Assumptions!$B$50)</f>
        <v>2040</v>
      </c>
      <c r="D21" s="26" t="n">
        <f aca="false">Assumptions!$B$47*(1+Assumptions!$B$50)^2</f>
        <v>2080.8</v>
      </c>
      <c r="E21" s="26" t="n">
        <f aca="false">Assumptions!$B$47*(1+Assumptions!$B$50)^3</f>
        <v>2122.416</v>
      </c>
    </row>
    <row r="22" customFormat="false" ht="15" hidden="false" customHeight="false" outlineLevel="0" collapsed="false">
      <c r="A22" s="3" t="s">
        <v>83</v>
      </c>
      <c r="B22" s="26" t="n">
        <f aca="false">Assumptions!$B$48*1</f>
        <v>7200</v>
      </c>
      <c r="C22" s="26" t="n">
        <f aca="false">Assumptions!$B$48*(1+Assumptions!$B$50)</f>
        <v>7344</v>
      </c>
      <c r="D22" s="26" t="n">
        <f aca="false">Assumptions!$B$48*(1+Assumptions!$B$50)^2</f>
        <v>7490.88</v>
      </c>
      <c r="E22" s="26" t="n">
        <f aca="false">Assumptions!$B$48*(1+Assumptions!$B$50)^3</f>
        <v>7640.6976</v>
      </c>
    </row>
    <row r="23" customFormat="false" ht="15" hidden="false" customHeight="false" outlineLevel="0" collapsed="false">
      <c r="A23" s="3" t="s">
        <v>202</v>
      </c>
      <c r="B23" s="21" t="n">
        <f aca="false">B4*Assumptions!$B$49</f>
        <v>7891.10273444459</v>
      </c>
      <c r="C23" s="21" t="n">
        <f aca="false">C4*Assumptions!$B$49</f>
        <v>10907.0739366145</v>
      </c>
      <c r="D23" s="21" t="n">
        <f aca="false">D4*Assumptions!$B$49</f>
        <v>11561.4983728114</v>
      </c>
      <c r="E23" s="21" t="n">
        <f aca="false">E4*Assumptions!$B$49</f>
        <v>12023.9583077238</v>
      </c>
    </row>
    <row r="24" customFormat="false" ht="15" hidden="false" customHeight="false" outlineLevel="0" collapsed="false">
      <c r="A24" s="3" t="s">
        <v>203</v>
      </c>
      <c r="B24" s="31" t="n">
        <f aca="false">SUM(B14:B23)</f>
        <v>111591.102734445</v>
      </c>
      <c r="C24" s="31" t="n">
        <f aca="false">SUM(C14:C23)</f>
        <v>115481.073936615</v>
      </c>
      <c r="D24" s="31" t="n">
        <f aca="false">SUM(D14:D23)</f>
        <v>117026.978372811</v>
      </c>
      <c r="E24" s="31" t="n">
        <f aca="false">SUM(E14:E23)</f>
        <v>118398.747907724</v>
      </c>
    </row>
    <row r="26" customFormat="false" ht="15" hidden="false" customHeight="false" outlineLevel="0" collapsed="false">
      <c r="A26" s="3" t="s">
        <v>204</v>
      </c>
      <c r="B26" s="26" t="n">
        <f aca="false">Assumptions!$B$60*12*1</f>
        <v>250800</v>
      </c>
      <c r="C26" s="26" t="n">
        <f aca="false">Assumptions!$B$60*12*(1+Assumptions!$B$62)</f>
        <v>255816</v>
      </c>
      <c r="D26" s="26" t="n">
        <f aca="false">Assumptions!$B$60*12*(1+Assumptions!$B$62)^2</f>
        <v>260932.32</v>
      </c>
      <c r="E26" s="26" t="n">
        <f aca="false">Assumptions!$B$60*12*(1+Assumptions!$B$62)^3</f>
        <v>266150.9664</v>
      </c>
      <c r="F26" s="2" t="s">
        <v>205</v>
      </c>
    </row>
    <row r="27" customFormat="false" ht="15" hidden="false" customHeight="false" outlineLevel="0" collapsed="false">
      <c r="A27" s="3" t="s">
        <v>206</v>
      </c>
      <c r="B27" s="21" t="n">
        <f aca="false">B26*Assumptions!$B$61</f>
        <v>105336</v>
      </c>
      <c r="C27" s="21" t="n">
        <f aca="false">C26*Assumptions!$B$61</f>
        <v>107442.72</v>
      </c>
      <c r="D27" s="21" t="n">
        <f aca="false">D26*Assumptions!$B$61</f>
        <v>109591.5744</v>
      </c>
      <c r="E27" s="21" t="n">
        <f aca="false">E26*Assumptions!$B$61</f>
        <v>111783.405888</v>
      </c>
    </row>
    <row r="28" customFormat="false" ht="15" hidden="false" customHeight="false" outlineLevel="0" collapsed="false">
      <c r="A28" s="3" t="s">
        <v>207</v>
      </c>
      <c r="B28" s="21" t="n">
        <f aca="false">B26*Assumptions!$B$65</f>
        <v>3009.6</v>
      </c>
      <c r="C28" s="21" t="n">
        <f aca="false">C26*Assumptions!$B$65</f>
        <v>3069.792</v>
      </c>
      <c r="D28" s="21" t="n">
        <f aca="false">D26*Assumptions!$B$65</f>
        <v>3131.18784</v>
      </c>
      <c r="E28" s="21" t="n">
        <f aca="false">E26*Assumptions!$B$65</f>
        <v>3193.8115968</v>
      </c>
    </row>
    <row r="29" customFormat="false" ht="15" hidden="false" customHeight="false" outlineLevel="0" collapsed="false">
      <c r="A29" s="3" t="s">
        <v>208</v>
      </c>
      <c r="B29" s="31" t="n">
        <f aca="false">SUM(B26:B28)</f>
        <v>359145.6</v>
      </c>
      <c r="C29" s="31" t="n">
        <f aca="false">SUM(C26:C28)</f>
        <v>366328.512</v>
      </c>
      <c r="D29" s="31" t="n">
        <f aca="false">SUM(D26:D28)</f>
        <v>373655.08224</v>
      </c>
      <c r="E29" s="31" t="n">
        <f aca="false">SUM(E26:E28)</f>
        <v>381128.1838848</v>
      </c>
    </row>
    <row r="31" customFormat="false" ht="15" hidden="false" customHeight="false" outlineLevel="0" collapsed="false">
      <c r="A31" s="4" t="s">
        <v>209</v>
      </c>
      <c r="B31" s="17" t="n">
        <f aca="false">B11-B24-B29</f>
        <v>81640.4886766765</v>
      </c>
      <c r="C31" s="17" t="n">
        <f aca="false">C11-C24-C29</f>
        <v>281685.589626401</v>
      </c>
      <c r="D31" s="17" t="n">
        <f aca="false">D11-D24-D29</f>
        <v>318622.825483985</v>
      </c>
      <c r="E31" s="17" t="n">
        <f aca="false">E11-E24-E29</f>
        <v>342150.149748145</v>
      </c>
    </row>
    <row r="32" customFormat="false" ht="15" hidden="false" customHeight="false" outlineLevel="0" collapsed="false">
      <c r="A32" s="3" t="s">
        <v>210</v>
      </c>
      <c r="B32" s="30" t="n">
        <f aca="false">B31/B4</f>
        <v>0.103458909893945</v>
      </c>
      <c r="C32" s="30" t="n">
        <f aca="false">C31/C4</f>
        <v>0.25825953987604</v>
      </c>
      <c r="D32" s="30" t="n">
        <f aca="false">D31/D4</f>
        <v>0.275589560461536</v>
      </c>
      <c r="E32" s="30" t="n">
        <f aca="false">E31/E4</f>
        <v>0.28455699944365</v>
      </c>
    </row>
    <row r="33" customFormat="false" ht="15" hidden="false" customHeight="false" outlineLevel="0" collapsed="false">
      <c r="A33" s="3" t="s">
        <v>211</v>
      </c>
      <c r="B33" s="26" t="n">
        <f aca="false">Investment!$D$9</f>
        <v>35000</v>
      </c>
      <c r="C33" s="26" t="n">
        <f aca="false">Investment!$D$9</f>
        <v>35000</v>
      </c>
      <c r="D33" s="26" t="n">
        <f aca="false">Investment!$D$9</f>
        <v>35000</v>
      </c>
      <c r="E33" s="26" t="n">
        <f aca="false">Investment!$D$9</f>
        <v>35000</v>
      </c>
    </row>
    <row r="34" customFormat="false" ht="15" hidden="false" customHeight="false" outlineLevel="0" collapsed="false">
      <c r="A34" s="3" t="s">
        <v>212</v>
      </c>
      <c r="B34" s="26" t="n">
        <f aca="false">SUMIFS(Loan!$D$19:$D$102,Loan!$G$19:$G$102,1)</f>
        <v>12424.9214058734</v>
      </c>
      <c r="C34" s="26" t="n">
        <f aca="false">SUMIFS(Loan!$D$19:$D$102,Loan!$G$19:$G$102,2)</f>
        <v>10962.1435352541</v>
      </c>
      <c r="D34" s="26" t="n">
        <f aca="false">SUMIFS(Loan!$D$19:$D$102,Loan!$G$19:$G$102,3)</f>
        <v>9179.60416045245</v>
      </c>
      <c r="E34" s="26" t="n">
        <f aca="false">SUMIFS(Loan!$D$19:$D$102,Loan!$G$19:$G$102,4)</f>
        <v>7315.17523864443</v>
      </c>
      <c r="F34" s="2" t="s">
        <v>213</v>
      </c>
    </row>
    <row r="35" customFormat="false" ht="15" hidden="false" customHeight="false" outlineLevel="0" collapsed="false">
      <c r="A35" s="4" t="s">
        <v>214</v>
      </c>
      <c r="B35" s="17" t="n">
        <f aca="false">B31-B33-B34</f>
        <v>34215.5672708031</v>
      </c>
      <c r="C35" s="17" t="n">
        <f aca="false">C31-C33-C34</f>
        <v>235723.446091147</v>
      </c>
      <c r="D35" s="17" t="n">
        <f aca="false">D31-D33-D34</f>
        <v>274443.221323533</v>
      </c>
      <c r="E35" s="17" t="n">
        <f aca="false">E31-E33-E34</f>
        <v>299834.9745095</v>
      </c>
    </row>
    <row r="36" customFormat="false" ht="15" hidden="false" customHeight="false" outlineLevel="0" collapsed="false">
      <c r="A36" s="3" t="s">
        <v>215</v>
      </c>
      <c r="B36" s="21" t="n">
        <f aca="false">MAX(0,B35*Assumptions!$B$66)</f>
        <v>8553.89181770078</v>
      </c>
      <c r="C36" s="21" t="n">
        <f aca="false">MAX(0,C35*Assumptions!$B$66)</f>
        <v>58930.8615227867</v>
      </c>
      <c r="D36" s="21" t="n">
        <f aca="false">MAX(0,D35*Assumptions!$B$66)</f>
        <v>68610.8053308832</v>
      </c>
      <c r="E36" s="21" t="n">
        <f aca="false">MAX(0,E35*Assumptions!$B$66)</f>
        <v>74958.743627375</v>
      </c>
    </row>
    <row r="37" customFormat="false" ht="15" hidden="false" customHeight="false" outlineLevel="0" collapsed="false">
      <c r="A37" s="4" t="s">
        <v>216</v>
      </c>
      <c r="B37" s="25" t="n">
        <f aca="false">B35-B36</f>
        <v>25661.6754531023</v>
      </c>
      <c r="C37" s="25" t="n">
        <f aca="false">C35-C36</f>
        <v>176792.58456836</v>
      </c>
      <c r="D37" s="25" t="n">
        <f aca="false">D35-D36</f>
        <v>205832.41599265</v>
      </c>
      <c r="E37" s="25" t="n">
        <f aca="false">E35-E36</f>
        <v>224876.230882125</v>
      </c>
    </row>
    <row r="39" customFormat="false" ht="15" hidden="false" customHeight="false" outlineLevel="0" collapsed="false">
      <c r="A39" s="3" t="s">
        <v>217</v>
      </c>
      <c r="B39" s="21" t="n">
        <f aca="false">B37+B33</f>
        <v>60661.6754531023</v>
      </c>
      <c r="C39" s="21" t="n">
        <f aca="false">C37+C33</f>
        <v>211792.58456836</v>
      </c>
      <c r="D39" s="21" t="n">
        <f aca="false">D37+D33</f>
        <v>240832.41599265</v>
      </c>
      <c r="E39" s="21" t="n">
        <f aca="false">E37+E33</f>
        <v>259876.230882125</v>
      </c>
    </row>
    <row r="40" customFormat="false" ht="15" hidden="false" customHeight="false" outlineLevel="0" collapsed="false">
      <c r="A40" s="3" t="s">
        <v>218</v>
      </c>
      <c r="B40" s="26" t="n">
        <f aca="false">SUMIFS(Loan!$E$19:$E$102,Loan!$G$19:$G$102,1)</f>
        <v>18756.9575396945</v>
      </c>
      <c r="C40" s="26" t="n">
        <f aca="false">SUMIFS(Loan!$E$19:$E$102,Loan!$G$19:$G$102,2)</f>
        <v>38801.6143558817</v>
      </c>
      <c r="D40" s="26" t="n">
        <f aca="false">SUMIFS(Loan!$E$19:$E$102,Loan!$G$19:$G$102,3)</f>
        <v>40584.1537306834</v>
      </c>
      <c r="E40" s="26" t="n">
        <f aca="false">SUMIFS(Loan!$E$19:$E$102,Loan!$G$19:$G$102,4)</f>
        <v>42448.5826524914</v>
      </c>
    </row>
    <row r="41" customFormat="false" ht="15" hidden="false" customHeight="false" outlineLevel="0" collapsed="false">
      <c r="A41" s="4" t="s">
        <v>219</v>
      </c>
      <c r="B41" s="17" t="n">
        <f aca="false">B39-B40</f>
        <v>41904.7179134078</v>
      </c>
      <c r="C41" s="17" t="n">
        <f aca="false">C39-C40</f>
        <v>172990.970212478</v>
      </c>
      <c r="D41" s="17" t="n">
        <f aca="false">D39-D40</f>
        <v>200248.262261966</v>
      </c>
      <c r="E41" s="17" t="n">
        <f aca="false">E39-E40</f>
        <v>217427.648229634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220</v>
      </c>
    </row>
    <row r="3" customFormat="false" ht="15" hidden="false" customHeight="false" outlineLevel="0" collapsed="false">
      <c r="A3" s="7" t="s">
        <v>221</v>
      </c>
      <c r="B3" s="8"/>
      <c r="C3" s="8"/>
      <c r="D3" s="8"/>
      <c r="E3" s="8"/>
      <c r="F3" s="8"/>
    </row>
    <row r="4" customFormat="false" ht="15" hidden="false" customHeight="false" outlineLevel="0" collapsed="false">
      <c r="A4" s="3" t="s">
        <v>222</v>
      </c>
      <c r="B4" s="32" t="n">
        <f aca="false">1-(SUM(Assumptions!$B$34:$B$37)+Assumptions!$B$49)</f>
        <v>0.69</v>
      </c>
    </row>
    <row r="5" customFormat="false" ht="15" hidden="false" customHeight="false" outlineLevel="0" collapsed="false">
      <c r="A5" s="3" t="s">
        <v>223</v>
      </c>
      <c r="B5" s="26" t="n">
        <f aca="false">PnL!C29+PnL!C24-PnL!C14+PnL!C33+PnL!C34</f>
        <v>467771.729471869</v>
      </c>
      <c r="F5" s="2" t="s">
        <v>224</v>
      </c>
    </row>
    <row r="6" customFormat="false" ht="15" hidden="false" customHeight="false" outlineLevel="0" collapsed="false">
      <c r="A6" s="3" t="s">
        <v>225</v>
      </c>
      <c r="B6" s="19" t="n">
        <f aca="false">Revenue!$E$13/(SUMPRODUCT(Assumptions!$B$8:$D$8,Assumptions!$B$19:$D$19)*Assumptions!$B$22*Assumptions!$B$23)</f>
        <v>30.4937524789167</v>
      </c>
    </row>
    <row r="7" customFormat="false" ht="15" hidden="false" customHeight="false" outlineLevel="0" collapsed="false">
      <c r="A7" s="3" t="s">
        <v>226</v>
      </c>
      <c r="B7" s="33" t="n">
        <f aca="false">SUMPRODUCT(Assumptions!$B$8:$D$8,Assumptions!$B$19:$D$19)</f>
        <v>715.2</v>
      </c>
    </row>
    <row r="9" customFormat="false" ht="15" hidden="false" customHeight="false" outlineLevel="0" collapsed="false">
      <c r="A9" s="7" t="s">
        <v>227</v>
      </c>
      <c r="B9" s="8"/>
      <c r="C9" s="8"/>
      <c r="D9" s="8"/>
      <c r="E9" s="8"/>
      <c r="F9" s="8"/>
    </row>
    <row r="10" customFormat="false" ht="15" hidden="false" customHeight="false" outlineLevel="0" collapsed="false">
      <c r="B10" s="9" t="s">
        <v>228</v>
      </c>
      <c r="C10" s="9" t="s">
        <v>229</v>
      </c>
      <c r="D10" s="9" t="s">
        <v>230</v>
      </c>
      <c r="E10" s="9" t="s">
        <v>231</v>
      </c>
    </row>
    <row r="11" customFormat="false" ht="15" hidden="false" customHeight="false" outlineLevel="0" collapsed="false">
      <c r="A11" s="3" t="s">
        <v>232</v>
      </c>
      <c r="B11" s="10" t="n">
        <v>3500</v>
      </c>
      <c r="C11" s="10" t="n">
        <v>5000</v>
      </c>
      <c r="D11" s="10" t="n">
        <v>6500</v>
      </c>
      <c r="E11" s="10" t="n">
        <v>8000</v>
      </c>
    </row>
    <row r="12" customFormat="false" ht="15" hidden="false" customHeight="false" outlineLevel="0" collapsed="false">
      <c r="A12" s="3" t="s">
        <v>233</v>
      </c>
      <c r="B12" s="21" t="n">
        <f aca="false">B11*12</f>
        <v>42000</v>
      </c>
      <c r="C12" s="21" t="n">
        <f aca="false">C11*12</f>
        <v>60000</v>
      </c>
      <c r="D12" s="21" t="n">
        <f aca="false">D11*12</f>
        <v>78000</v>
      </c>
      <c r="E12" s="21" t="n">
        <f aca="false">E11*12</f>
        <v>96000</v>
      </c>
    </row>
    <row r="13" customFormat="false" ht="15" hidden="false" customHeight="false" outlineLevel="0" collapsed="false">
      <c r="A13" s="3" t="s">
        <v>234</v>
      </c>
      <c r="B13" s="21" t="n">
        <f aca="false">$B$5+B12</f>
        <v>509771.729471869</v>
      </c>
      <c r="C13" s="21" t="n">
        <f aca="false">$B$5+C12</f>
        <v>527771.729471869</v>
      </c>
      <c r="D13" s="21" t="n">
        <f aca="false">$B$5+D12</f>
        <v>545771.729471869</v>
      </c>
      <c r="E13" s="21" t="n">
        <f aca="false">$B$5+E12</f>
        <v>563771.729471869</v>
      </c>
    </row>
    <row r="14" customFormat="false" ht="15" hidden="false" customHeight="false" outlineLevel="0" collapsed="false">
      <c r="A14" s="4" t="s">
        <v>235</v>
      </c>
      <c r="B14" s="17" t="n">
        <f aca="false">B13/$B$4</f>
        <v>738799.607930244</v>
      </c>
      <c r="C14" s="17" t="n">
        <f aca="false">C13/$B$4</f>
        <v>764886.564451984</v>
      </c>
      <c r="D14" s="17" t="n">
        <f aca="false">D13/$B$4</f>
        <v>790973.520973723</v>
      </c>
      <c r="E14" s="17" t="n">
        <f aca="false">E13/$B$4</f>
        <v>817060.477495462</v>
      </c>
    </row>
    <row r="15" customFormat="false" ht="15" hidden="false" customHeight="false" outlineLevel="0" collapsed="false">
      <c r="A15" s="3" t="s">
        <v>236</v>
      </c>
      <c r="B15" s="21" t="n">
        <f aca="false">B14/Assumptions!$B$23</f>
        <v>70361.867421928</v>
      </c>
      <c r="C15" s="21" t="n">
        <f aca="false">C14/Assumptions!$B$23</f>
        <v>72846.3394716175</v>
      </c>
      <c r="D15" s="21" t="n">
        <f aca="false">D14/Assumptions!$B$23</f>
        <v>75330.8115213069</v>
      </c>
      <c r="E15" s="21" t="n">
        <f aca="false">E14/Assumptions!$B$23</f>
        <v>77815.2835709964</v>
      </c>
    </row>
    <row r="16" customFormat="false" ht="15" hidden="false" customHeight="false" outlineLevel="0" collapsed="false">
      <c r="A16" s="3" t="s">
        <v>237</v>
      </c>
      <c r="B16" s="34" t="n">
        <f aca="false">B14/$B$6/(Assumptions!$B$22*Assumptions!$B$23)</f>
        <v>532.891251062053</v>
      </c>
      <c r="C16" s="34" t="n">
        <f aca="false">C14/$B$6/(Assumptions!$B$22*Assumptions!$B$23)</f>
        <v>551.707599565833</v>
      </c>
      <c r="D16" s="34" t="n">
        <f aca="false">D14/$B$6/(Assumptions!$B$22*Assumptions!$B$23)</f>
        <v>570.523948069612</v>
      </c>
      <c r="E16" s="34" t="n">
        <f aca="false">E14/$B$6/(Assumptions!$B$22*Assumptions!$B$23)</f>
        <v>589.340296573391</v>
      </c>
    </row>
    <row r="17" customFormat="false" ht="15" hidden="false" customHeight="false" outlineLevel="0" collapsed="false">
      <c r="A17" s="4" t="s">
        <v>238</v>
      </c>
      <c r="B17" s="35" t="n">
        <f aca="false">B16/$B$7</f>
        <v>0.745094031127032</v>
      </c>
      <c r="C17" s="35" t="n">
        <f aca="false">C16/$B$7</f>
        <v>0.771403243240817</v>
      </c>
      <c r="D17" s="35" t="n">
        <f aca="false">D16/$B$7</f>
        <v>0.797712455354602</v>
      </c>
      <c r="E17" s="35" t="n">
        <f aca="false">E16/$B$7</f>
        <v>0.824021667468388</v>
      </c>
    </row>
    <row r="18" customFormat="false" ht="15" hidden="false" customHeight="false" outlineLevel="0" collapsed="false">
      <c r="A18" s="2" t="s">
        <v>239</v>
      </c>
    </row>
    <row r="19" customFormat="false" ht="15" hidden="false" customHeight="false" outlineLevel="0" collapsed="false">
      <c r="A19" s="2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4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241</v>
      </c>
    </row>
    <row r="3" customFormat="false" ht="15" hidden="false" customHeight="false" outlineLevel="0" collapsed="false">
      <c r="A3" s="9" t="s">
        <v>242</v>
      </c>
      <c r="B3" s="9" t="s">
        <v>243</v>
      </c>
      <c r="C3" s="9" t="s">
        <v>244</v>
      </c>
      <c r="D3" s="9" t="s">
        <v>245</v>
      </c>
    </row>
    <row r="4" customFormat="false" ht="15" hidden="false" customHeight="false" outlineLevel="0" collapsed="false">
      <c r="A4" s="3" t="s">
        <v>246</v>
      </c>
      <c r="B4" s="26" t="n">
        <f aca="false">Revenue!$E$13</f>
        <v>991552.176055864</v>
      </c>
    </row>
    <row r="5" customFormat="false" ht="15" hidden="false" customHeight="false" outlineLevel="0" collapsed="false">
      <c r="A5" s="3" t="s">
        <v>247</v>
      </c>
      <c r="B5" s="26" t="n">
        <f aca="false">Revenue!$E$13/Assumptions!$B$69</f>
        <v>24788.8044013966</v>
      </c>
      <c r="C5" s="21" t="n">
        <v>15000</v>
      </c>
      <c r="D5" s="21" t="n">
        <v>30000</v>
      </c>
    </row>
    <row r="6" customFormat="false" ht="15" hidden="false" customHeight="false" outlineLevel="0" collapsed="false">
      <c r="A6" s="3" t="s">
        <v>248</v>
      </c>
      <c r="B6" s="26" t="n">
        <f aca="false">Revenue!$E$13/Assumptions!$B$70</f>
        <v>11017.2464006207</v>
      </c>
      <c r="C6" s="21" t="n">
        <v>8000</v>
      </c>
      <c r="D6" s="21" t="n">
        <v>15000</v>
      </c>
    </row>
    <row r="7" customFormat="false" ht="15" hidden="false" customHeight="false" outlineLevel="0" collapsed="false">
      <c r="A7" s="3" t="s">
        <v>249</v>
      </c>
      <c r="B7" s="26" t="n">
        <f aca="false">Revenue!$E$13/(Assumptions!$B$71*Assumptions!$B$22*Assumptions!$B$23)</f>
        <v>363.485529548687</v>
      </c>
      <c r="C7" s="21" t="n">
        <v>200</v>
      </c>
      <c r="D7" s="21" t="n">
        <v>500</v>
      </c>
    </row>
    <row r="8" customFormat="false" ht="15" hidden="false" customHeight="false" outlineLevel="0" collapsed="false">
      <c r="A8" s="3" t="s">
        <v>250</v>
      </c>
      <c r="B8" s="32" t="n">
        <f aca="false">Assumptions!$B$34</f>
        <v>0.27</v>
      </c>
      <c r="C8" s="30" t="n">
        <v>0.25</v>
      </c>
      <c r="D8" s="30" t="n">
        <v>0.32</v>
      </c>
    </row>
    <row r="9" customFormat="false" ht="15" hidden="false" customHeight="false" outlineLevel="0" collapsed="false">
      <c r="A9" s="3" t="s">
        <v>251</v>
      </c>
      <c r="B9" s="32" t="n">
        <f aca="false">PnL!C29/PnL!C4</f>
        <v>0.335863233465626</v>
      </c>
      <c r="C9" s="30" t="n">
        <v>0.3</v>
      </c>
      <c r="D9" s="30" t="n">
        <v>0.4</v>
      </c>
    </row>
    <row r="10" customFormat="false" ht="15" hidden="false" customHeight="false" outlineLevel="0" collapsed="false">
      <c r="A10" s="3" t="s">
        <v>252</v>
      </c>
      <c r="B10" s="32" t="n">
        <f aca="false">PnL!C14/PnL!C4</f>
        <v>0.0550101707833693</v>
      </c>
      <c r="C10" s="30" t="n">
        <v>0.06</v>
      </c>
      <c r="D10" s="30" t="n">
        <v>0.1</v>
      </c>
      <c r="E10" s="2" t="s">
        <v>253</v>
      </c>
    </row>
    <row r="11" customFormat="false" ht="15" hidden="false" customHeight="false" outlineLevel="0" collapsed="false">
      <c r="A11" s="3" t="s">
        <v>254</v>
      </c>
      <c r="B11" s="32" t="n">
        <f aca="false">PnL!C31/PnL!C4</f>
        <v>0.25825953987604</v>
      </c>
      <c r="C11" s="30" t="n">
        <v>0.1</v>
      </c>
      <c r="D11" s="30" t="n">
        <v>0.2</v>
      </c>
      <c r="E11" s="2" t="s">
        <v>255</v>
      </c>
    </row>
    <row r="12" customFormat="false" ht="15" hidden="false" customHeight="false" outlineLevel="0" collapsed="false">
      <c r="A12" s="3" t="s">
        <v>256</v>
      </c>
      <c r="B12" s="26" t="n">
        <f aca="false">Investment!$B$37</f>
        <v>607044.444514437</v>
      </c>
    </row>
    <row r="13" customFormat="false" ht="15" hidden="false" customHeight="false" outlineLevel="0" collapsed="false">
      <c r="A13" s="3" t="s">
        <v>257</v>
      </c>
      <c r="B13" s="23" t="n">
        <f aca="false">Investment!$B$37/Revenue!$E$13</f>
        <v>0.612216340373637</v>
      </c>
      <c r="C13" s="36" t="n">
        <v>0.4</v>
      </c>
      <c r="D13" s="36" t="n">
        <v>0.8</v>
      </c>
    </row>
    <row r="14" customFormat="false" ht="15" hidden="false" customHeight="false" outlineLevel="0" collapsed="false">
      <c r="A14" s="3" t="s">
        <v>258</v>
      </c>
      <c r="B14" s="23" t="n">
        <f aca="false">Investment!$B$37/PnL!C39</f>
        <v>2.86622142957277</v>
      </c>
      <c r="C14" s="36" t="n">
        <v>2.5</v>
      </c>
      <c r="D14" s="36" t="n">
        <v>4.5</v>
      </c>
    </row>
    <row r="15" customFormat="false" ht="15" hidden="false" customHeight="false" outlineLevel="0" collapsed="false">
      <c r="A15" s="3" t="s">
        <v>259</v>
      </c>
      <c r="B15" s="32" t="n">
        <f aca="false">BreakEven!C17</f>
        <v>0.771403243240817</v>
      </c>
      <c r="D15" s="30" t="n">
        <v>0.85</v>
      </c>
      <c r="E15" s="2" t="s">
        <v>260</v>
      </c>
    </row>
    <row r="17" customFormat="false" ht="15" hidden="false" customHeight="false" outlineLevel="0" collapsed="false">
      <c r="A17" s="2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2026-09-16T13:26:08Z</dcterms:created>
  <dc:creator>openpyxl</dc:creator>
  <dc:description/>
  <dc:language>en-US</dc:language>
  <cp:lastModifiedBy/>
  <dcterms:modified xsi:type="dcterms:W3CDTF">2026-09-16T13:26:08Z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