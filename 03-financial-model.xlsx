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thomasgilodi/Desktop/JOB/Toolkit/"/>
    </mc:Choice>
  </mc:AlternateContent>
  <xr:revisionPtr revIDLastSave="0" documentId="13_ncr:1_{BE78F504-201D-5B45-8DEE-2DFD2BDC1D0B}" xr6:coauthVersionLast="47" xr6:coauthVersionMax="47" xr10:uidLastSave="{00000000-0000-0000-0000-000000000000}"/>
  <bookViews>
    <workbookView xWindow="0" yWindow="660" windowWidth="29400" windowHeight="18460" tabRatio="500" activeTab="7" xr2:uid="{00000000-000D-0000-FFFF-FFFF00000000}"/>
  </bookViews>
  <sheets>
    <sheet name="Read Me" sheetId="1" r:id="rId1"/>
    <sheet name="Assumptions" sheetId="2" r:id="rId2"/>
    <sheet name="Revenue" sheetId="3" r:id="rId3"/>
    <sheet name="Investment" sheetId="4" r:id="rId4"/>
    <sheet name="Loan" sheetId="5" r:id="rId5"/>
    <sheet name="PnL" sheetId="6" r:id="rId6"/>
    <sheet name="BreakEven" sheetId="7" r:id="rId7"/>
    <sheet name="KPI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8" l="1"/>
  <c r="E12" i="7"/>
  <c r="D12" i="7"/>
  <c r="C12" i="7"/>
  <c r="B12" i="7"/>
  <c r="B4" i="7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G102" i="5"/>
  <c r="G101" i="5"/>
  <c r="G100" i="5"/>
  <c r="G99" i="5"/>
  <c r="G98" i="5"/>
  <c r="G97" i="5"/>
  <c r="C97" i="5"/>
  <c r="G96" i="5"/>
  <c r="G95" i="5"/>
  <c r="C95" i="5"/>
  <c r="G94" i="5"/>
  <c r="G93" i="5"/>
  <c r="G92" i="5"/>
  <c r="C92" i="5"/>
  <c r="G91" i="5"/>
  <c r="G90" i="5"/>
  <c r="G89" i="5"/>
  <c r="C89" i="5"/>
  <c r="G88" i="5"/>
  <c r="G87" i="5"/>
  <c r="G86" i="5"/>
  <c r="C86" i="5"/>
  <c r="G85" i="5"/>
  <c r="G84" i="5"/>
  <c r="C84" i="5"/>
  <c r="G83" i="5"/>
  <c r="C83" i="5"/>
  <c r="G82" i="5"/>
  <c r="G81" i="5"/>
  <c r="C81" i="5"/>
  <c r="G80" i="5"/>
  <c r="C80" i="5"/>
  <c r="G79" i="5"/>
  <c r="G78" i="5"/>
  <c r="C78" i="5"/>
  <c r="G77" i="5"/>
  <c r="C77" i="5"/>
  <c r="G76" i="5"/>
  <c r="G75" i="5"/>
  <c r="C75" i="5"/>
  <c r="G74" i="5"/>
  <c r="C74" i="5"/>
  <c r="G73" i="5"/>
  <c r="G72" i="5"/>
  <c r="C72" i="5"/>
  <c r="G71" i="5"/>
  <c r="C71" i="5"/>
  <c r="G70" i="5"/>
  <c r="G69" i="5"/>
  <c r="C69" i="5"/>
  <c r="G68" i="5"/>
  <c r="G67" i="5"/>
  <c r="G66" i="5"/>
  <c r="C66" i="5"/>
  <c r="G65" i="5"/>
  <c r="G64" i="5"/>
  <c r="G63" i="5"/>
  <c r="C63" i="5"/>
  <c r="G62" i="5"/>
  <c r="G61" i="5"/>
  <c r="G60" i="5"/>
  <c r="C60" i="5"/>
  <c r="G59" i="5"/>
  <c r="G58" i="5"/>
  <c r="G57" i="5"/>
  <c r="C57" i="5"/>
  <c r="G56" i="5"/>
  <c r="G55" i="5"/>
  <c r="G54" i="5"/>
  <c r="C54" i="5"/>
  <c r="G53" i="5"/>
  <c r="G52" i="5"/>
  <c r="C52" i="5"/>
  <c r="G51" i="5"/>
  <c r="C51" i="5"/>
  <c r="G50" i="5"/>
  <c r="G49" i="5"/>
  <c r="C49" i="5"/>
  <c r="G48" i="5"/>
  <c r="C48" i="5"/>
  <c r="G47" i="5"/>
  <c r="G46" i="5"/>
  <c r="C46" i="5"/>
  <c r="G45" i="5"/>
  <c r="C45" i="5"/>
  <c r="G44" i="5"/>
  <c r="G43" i="5"/>
  <c r="C43" i="5"/>
  <c r="G42" i="5"/>
  <c r="C42" i="5"/>
  <c r="G41" i="5"/>
  <c r="G40" i="5"/>
  <c r="C40" i="5"/>
  <c r="G39" i="5"/>
  <c r="C39" i="5"/>
  <c r="G38" i="5"/>
  <c r="G37" i="5"/>
  <c r="C37" i="5"/>
  <c r="G36" i="5"/>
  <c r="G35" i="5"/>
  <c r="G34" i="5"/>
  <c r="C34" i="5"/>
  <c r="G33" i="5"/>
  <c r="G32" i="5"/>
  <c r="G31" i="5"/>
  <c r="C31" i="5"/>
  <c r="G30" i="5"/>
  <c r="G29" i="5"/>
  <c r="G28" i="5"/>
  <c r="C28" i="5"/>
  <c r="G27" i="5"/>
  <c r="G26" i="5"/>
  <c r="G25" i="5"/>
  <c r="C25" i="5"/>
  <c r="G24" i="5"/>
  <c r="G23" i="5"/>
  <c r="G22" i="5"/>
  <c r="G21" i="5"/>
  <c r="G20" i="5"/>
  <c r="G19" i="5"/>
  <c r="D19" i="5"/>
  <c r="B19" i="5"/>
  <c r="B14" i="5"/>
  <c r="B12" i="5"/>
  <c r="B11" i="5"/>
  <c r="B13" i="5" s="1"/>
  <c r="B45" i="4"/>
  <c r="B43" i="4"/>
  <c r="B26" i="4"/>
  <c r="B20" i="4"/>
  <c r="B14" i="4"/>
  <c r="B9" i="4"/>
  <c r="D8" i="4"/>
  <c r="D7" i="4"/>
  <c r="D6" i="4"/>
  <c r="D5" i="4"/>
  <c r="M17" i="3"/>
  <c r="L17" i="3"/>
  <c r="K17" i="3"/>
  <c r="J17" i="3"/>
  <c r="I17" i="3"/>
  <c r="H17" i="3"/>
  <c r="G17" i="3"/>
  <c r="F17" i="3"/>
  <c r="E17" i="3"/>
  <c r="D17" i="3"/>
  <c r="C17" i="3"/>
  <c r="B17" i="3"/>
  <c r="D10" i="3"/>
  <c r="C10" i="3"/>
  <c r="B10" i="3"/>
  <c r="D6" i="3"/>
  <c r="C6" i="3"/>
  <c r="B6" i="3"/>
  <c r="C60" i="2"/>
  <c r="B60" i="2"/>
  <c r="D19" i="2"/>
  <c r="C19" i="2"/>
  <c r="B19" i="2"/>
  <c r="B7" i="7" s="1"/>
  <c r="D7" i="2"/>
  <c r="D5" i="3" s="1"/>
  <c r="D7" i="3" s="1"/>
  <c r="D11" i="3" s="1"/>
  <c r="D12" i="3" s="1"/>
  <c r="C7" i="2"/>
  <c r="C5" i="3" s="1"/>
  <c r="C7" i="3" s="1"/>
  <c r="C11" i="3" s="1"/>
  <c r="C12" i="3" s="1"/>
  <c r="B7" i="2"/>
  <c r="B5" i="3" s="1"/>
  <c r="B7" i="3" s="1"/>
  <c r="B11" i="3" l="1"/>
  <c r="E7" i="3"/>
  <c r="G19" i="3"/>
  <c r="F19" i="3"/>
  <c r="E19" i="3"/>
  <c r="M19" i="3"/>
  <c r="D19" i="3"/>
  <c r="H19" i="3"/>
  <c r="C13" i="3"/>
  <c r="L19" i="3"/>
  <c r="K19" i="3"/>
  <c r="C19" i="3"/>
  <c r="J19" i="3"/>
  <c r="I19" i="3"/>
  <c r="B19" i="3"/>
  <c r="J20" i="3"/>
  <c r="B20" i="3"/>
  <c r="L20" i="3"/>
  <c r="C20" i="3"/>
  <c r="K20" i="3"/>
  <c r="I20" i="3"/>
  <c r="M20" i="3"/>
  <c r="D20" i="3"/>
  <c r="D13" i="3"/>
  <c r="G20" i="3"/>
  <c r="H20" i="3"/>
  <c r="F20" i="3"/>
  <c r="E20" i="3"/>
  <c r="C24" i="5"/>
  <c r="C21" i="5"/>
  <c r="C23" i="5"/>
  <c r="C20" i="5"/>
  <c r="C19" i="5"/>
  <c r="E19" i="5" s="1"/>
  <c r="F19" i="5" s="1"/>
  <c r="B20" i="5" s="1"/>
  <c r="C22" i="5"/>
  <c r="E26" i="6"/>
  <c r="D26" i="6"/>
  <c r="C26" i="6"/>
  <c r="B26" i="6"/>
  <c r="C99" i="5"/>
  <c r="C101" i="5"/>
  <c r="C26" i="5"/>
  <c r="C29" i="5"/>
  <c r="C32" i="5"/>
  <c r="C55" i="5"/>
  <c r="C58" i="5"/>
  <c r="C61" i="5"/>
  <c r="C64" i="5"/>
  <c r="C87" i="5"/>
  <c r="C90" i="5"/>
  <c r="C93" i="5"/>
  <c r="C30" i="5"/>
  <c r="C33" i="5"/>
  <c r="C36" i="5"/>
  <c r="C59" i="5"/>
  <c r="C62" i="5"/>
  <c r="C65" i="5"/>
  <c r="C68" i="5"/>
  <c r="C91" i="5"/>
  <c r="C94" i="5"/>
  <c r="C102" i="5"/>
  <c r="C27" i="5"/>
  <c r="C47" i="5"/>
  <c r="C50" i="5"/>
  <c r="C53" i="5"/>
  <c r="C56" i="5"/>
  <c r="C79" i="5"/>
  <c r="C82" i="5"/>
  <c r="C85" i="5"/>
  <c r="C88" i="5"/>
  <c r="C96" i="5"/>
  <c r="D9" i="4"/>
  <c r="B34" i="4"/>
  <c r="C35" i="5"/>
  <c r="C38" i="5"/>
  <c r="C41" i="5"/>
  <c r="C44" i="5"/>
  <c r="C67" i="5"/>
  <c r="C70" i="5"/>
  <c r="C73" i="5"/>
  <c r="C76" i="5"/>
  <c r="C98" i="5"/>
  <c r="C100" i="5"/>
  <c r="N19" i="3" l="1"/>
  <c r="E33" i="6"/>
  <c r="D33" i="6"/>
  <c r="C33" i="6"/>
  <c r="B33" i="6"/>
  <c r="B12" i="3"/>
  <c r="E11" i="3"/>
  <c r="N20" i="3"/>
  <c r="B27" i="6"/>
  <c r="B29" i="6" s="1"/>
  <c r="B28" i="6"/>
  <c r="D20" i="5"/>
  <c r="C27" i="6"/>
  <c r="C29" i="6" s="1"/>
  <c r="C28" i="6"/>
  <c r="D27" i="6"/>
  <c r="D29" i="6" s="1"/>
  <c r="D28" i="6"/>
  <c r="E28" i="6"/>
  <c r="E27" i="6"/>
  <c r="E29" i="6"/>
  <c r="L18" i="3" l="1"/>
  <c r="L21" i="3" s="1"/>
  <c r="J18" i="3"/>
  <c r="J21" i="3" s="1"/>
  <c r="B18" i="3"/>
  <c r="B13" i="3"/>
  <c r="E13" i="3" s="1"/>
  <c r="I18" i="3"/>
  <c r="I21" i="3" s="1"/>
  <c r="E12" i="3"/>
  <c r="H18" i="3"/>
  <c r="H21" i="3" s="1"/>
  <c r="K18" i="3"/>
  <c r="K21" i="3" s="1"/>
  <c r="C18" i="3"/>
  <c r="C21" i="3" s="1"/>
  <c r="G18" i="3"/>
  <c r="G21" i="3" s="1"/>
  <c r="F18" i="3"/>
  <c r="F21" i="3" s="1"/>
  <c r="D18" i="3"/>
  <c r="D21" i="3" s="1"/>
  <c r="E18" i="3"/>
  <c r="E21" i="3" s="1"/>
  <c r="M18" i="3"/>
  <c r="M21" i="3" s="1"/>
  <c r="E20" i="5"/>
  <c r="B7" i="8" l="1"/>
  <c r="B6" i="8"/>
  <c r="B5" i="8"/>
  <c r="C4" i="6"/>
  <c r="B4" i="8"/>
  <c r="B6" i="7"/>
  <c r="B32" i="4"/>
  <c r="B35" i="4" s="1"/>
  <c r="B37" i="4" s="1"/>
  <c r="B21" i="3"/>
  <c r="N21" i="3" s="1"/>
  <c r="B23" i="3" s="1"/>
  <c r="B4" i="6" s="1"/>
  <c r="N18" i="3"/>
  <c r="F20" i="5"/>
  <c r="B21" i="5" s="1"/>
  <c r="B13" i="8" l="1"/>
  <c r="B12" i="8"/>
  <c r="B46" i="4"/>
  <c r="D4" i="6"/>
  <c r="C9" i="6"/>
  <c r="C7" i="6"/>
  <c r="C23" i="6"/>
  <c r="C24" i="6" s="1"/>
  <c r="C8" i="6"/>
  <c r="C6" i="6"/>
  <c r="B10" i="8"/>
  <c r="B9" i="8"/>
  <c r="D21" i="5"/>
  <c r="B11" i="6"/>
  <c r="B9" i="6"/>
  <c r="B7" i="6"/>
  <c r="B23" i="6"/>
  <c r="B24" i="6" s="1"/>
  <c r="B8" i="6"/>
  <c r="B6" i="6"/>
  <c r="B10" i="6" s="1"/>
  <c r="E21" i="5" l="1"/>
  <c r="D9" i="6"/>
  <c r="D7" i="6"/>
  <c r="D23" i="6"/>
  <c r="D24" i="6" s="1"/>
  <c r="D8" i="6"/>
  <c r="E4" i="6"/>
  <c r="D6" i="6"/>
  <c r="B31" i="6"/>
  <c r="B12" i="6"/>
  <c r="C10" i="6"/>
  <c r="C11" i="6" s="1"/>
  <c r="C31" i="6" l="1"/>
  <c r="C12" i="6"/>
  <c r="B32" i="6"/>
  <c r="D10" i="6"/>
  <c r="D11" i="6" s="1"/>
  <c r="E23" i="6"/>
  <c r="E24" i="6" s="1"/>
  <c r="E9" i="6"/>
  <c r="E8" i="6"/>
  <c r="E7" i="6"/>
  <c r="E6" i="6"/>
  <c r="F21" i="5"/>
  <c r="B22" i="5" s="1"/>
  <c r="D22" i="5" l="1"/>
  <c r="D31" i="6"/>
  <c r="D12" i="6"/>
  <c r="E10" i="6"/>
  <c r="E11" i="6" s="1"/>
  <c r="C32" i="6"/>
  <c r="B11" i="8"/>
  <c r="E31" i="6" l="1"/>
  <c r="E12" i="6"/>
  <c r="D32" i="6"/>
  <c r="E22" i="5"/>
  <c r="F22" i="5" l="1"/>
  <c r="B23" i="5" s="1"/>
  <c r="E32" i="6"/>
  <c r="D23" i="5" l="1"/>
  <c r="E23" i="5" l="1"/>
  <c r="F23" i="5" l="1"/>
  <c r="B24" i="5" s="1"/>
  <c r="D24" i="5" l="1"/>
  <c r="E24" i="5" l="1"/>
  <c r="F24" i="5" s="1"/>
  <c r="B25" i="5" s="1"/>
  <c r="D25" i="5" l="1"/>
  <c r="E25" i="5" s="1"/>
  <c r="F25" i="5" s="1"/>
  <c r="B26" i="5" s="1"/>
  <c r="D26" i="5" l="1"/>
  <c r="E26" i="5" s="1"/>
  <c r="F26" i="5" s="1"/>
  <c r="B27" i="5" s="1"/>
  <c r="D27" i="5" l="1"/>
  <c r="E27" i="5" s="1"/>
  <c r="F27" i="5"/>
  <c r="B28" i="5" s="1"/>
  <c r="D28" i="5" l="1"/>
  <c r="E28" i="5" s="1"/>
  <c r="F28" i="5"/>
  <c r="B29" i="5" s="1"/>
  <c r="D29" i="5" l="1"/>
  <c r="E29" i="5" s="1"/>
  <c r="F29" i="5" s="1"/>
  <c r="B30" i="5" s="1"/>
  <c r="D30" i="5" l="1"/>
  <c r="E30" i="5" s="1"/>
  <c r="F30" i="5"/>
  <c r="B31" i="5" s="1"/>
  <c r="D31" i="5" l="1"/>
  <c r="E31" i="5" l="1"/>
  <c r="F31" i="5" l="1"/>
  <c r="B32" i="5" s="1"/>
  <c r="D32" i="5" l="1"/>
  <c r="E32" i="5" l="1"/>
  <c r="F32" i="5" l="1"/>
  <c r="B33" i="5" s="1"/>
  <c r="D33" i="5" l="1"/>
  <c r="E33" i="5" l="1"/>
  <c r="F33" i="5" l="1"/>
  <c r="B34" i="5" s="1"/>
  <c r="D34" i="5" l="1"/>
  <c r="E34" i="5" l="1"/>
  <c r="F34" i="5" l="1"/>
  <c r="B35" i="5" s="1"/>
  <c r="D35" i="5" l="1"/>
  <c r="E35" i="5" s="1"/>
  <c r="F35" i="5"/>
  <c r="B36" i="5" s="1"/>
  <c r="D36" i="5" l="1"/>
  <c r="E36" i="5" s="1"/>
  <c r="F36" i="5"/>
  <c r="B37" i="5" s="1"/>
  <c r="D37" i="5" l="1"/>
  <c r="E37" i="5" s="1"/>
  <c r="F37" i="5" s="1"/>
  <c r="B38" i="5" s="1"/>
  <c r="D38" i="5" l="1"/>
  <c r="E38" i="5" s="1"/>
  <c r="F38" i="5"/>
  <c r="B39" i="5" s="1"/>
  <c r="D39" i="5" l="1"/>
  <c r="E39" i="5" s="1"/>
  <c r="F39" i="5" s="1"/>
  <c r="B40" i="5" s="1"/>
  <c r="D40" i="5" l="1"/>
  <c r="E40" i="5" s="1"/>
  <c r="F40" i="5"/>
  <c r="B41" i="5" s="1"/>
  <c r="D41" i="5" l="1"/>
  <c r="E41" i="5" s="1"/>
  <c r="F41" i="5" s="1"/>
  <c r="B42" i="5" s="1"/>
  <c r="D42" i="5" l="1"/>
  <c r="E42" i="5" s="1"/>
  <c r="F42" i="5" s="1"/>
  <c r="B43" i="5" s="1"/>
  <c r="D43" i="5" l="1"/>
  <c r="E43" i="5" l="1"/>
  <c r="F43" i="5" l="1"/>
  <c r="B44" i="5" s="1"/>
  <c r="D44" i="5" l="1"/>
  <c r="E44" i="5" l="1"/>
  <c r="F44" i="5" l="1"/>
  <c r="B45" i="5" s="1"/>
  <c r="D45" i="5" l="1"/>
  <c r="E45" i="5" l="1"/>
  <c r="F45" i="5" l="1"/>
  <c r="B46" i="5" s="1"/>
  <c r="D46" i="5" l="1"/>
  <c r="E46" i="5" l="1"/>
  <c r="F46" i="5" l="1"/>
  <c r="B47" i="5" s="1"/>
  <c r="D47" i="5" l="1"/>
  <c r="E47" i="5" s="1"/>
  <c r="F47" i="5"/>
  <c r="B48" i="5" s="1"/>
  <c r="D48" i="5" l="1"/>
  <c r="E48" i="5" s="1"/>
  <c r="F48" i="5"/>
  <c r="B49" i="5" s="1"/>
  <c r="D49" i="5" l="1"/>
  <c r="E49" i="5" s="1"/>
  <c r="F49" i="5" s="1"/>
  <c r="B50" i="5" s="1"/>
  <c r="D50" i="5" l="1"/>
  <c r="E50" i="5" s="1"/>
  <c r="F50" i="5"/>
  <c r="B51" i="5" s="1"/>
  <c r="D51" i="5" l="1"/>
  <c r="E51" i="5" s="1"/>
  <c r="F51" i="5"/>
  <c r="B52" i="5" s="1"/>
  <c r="D52" i="5" l="1"/>
  <c r="E52" i="5" s="1"/>
  <c r="F52" i="5"/>
  <c r="B53" i="5" s="1"/>
  <c r="D53" i="5" l="1"/>
  <c r="E53" i="5" s="1"/>
  <c r="F53" i="5" s="1"/>
  <c r="B54" i="5" s="1"/>
  <c r="D54" i="5" l="1"/>
  <c r="E54" i="5" s="1"/>
  <c r="F54" i="5"/>
  <c r="B55" i="5" s="1"/>
  <c r="D55" i="5" l="1"/>
  <c r="E55" i="5" l="1"/>
  <c r="F55" i="5" l="1"/>
  <c r="B56" i="5" s="1"/>
  <c r="D56" i="5" l="1"/>
  <c r="E56" i="5" l="1"/>
  <c r="F56" i="5" l="1"/>
  <c r="B57" i="5" s="1"/>
  <c r="D57" i="5" l="1"/>
  <c r="E57" i="5" l="1"/>
  <c r="F57" i="5" l="1"/>
  <c r="B58" i="5" s="1"/>
  <c r="D58" i="5" l="1"/>
  <c r="E58" i="5" l="1"/>
  <c r="F58" i="5" l="1"/>
  <c r="B59" i="5" s="1"/>
  <c r="D59" i="5" l="1"/>
  <c r="E59" i="5" s="1"/>
  <c r="F59" i="5"/>
  <c r="B60" i="5" s="1"/>
  <c r="D60" i="5" l="1"/>
  <c r="E60" i="5" s="1"/>
  <c r="F60" i="5"/>
  <c r="B61" i="5" s="1"/>
  <c r="D61" i="5" l="1"/>
  <c r="E61" i="5" s="1"/>
  <c r="F61" i="5" s="1"/>
  <c r="B62" i="5" s="1"/>
  <c r="D62" i="5" l="1"/>
  <c r="E62" i="5" s="1"/>
  <c r="F62" i="5"/>
  <c r="B63" i="5" s="1"/>
  <c r="D63" i="5" l="1"/>
  <c r="E63" i="5" s="1"/>
  <c r="F63" i="5" s="1"/>
  <c r="B64" i="5" s="1"/>
  <c r="D64" i="5" l="1"/>
  <c r="E64" i="5" s="1"/>
  <c r="F64" i="5"/>
  <c r="B65" i="5" s="1"/>
  <c r="D65" i="5" l="1"/>
  <c r="E65" i="5" s="1"/>
  <c r="F65" i="5" s="1"/>
  <c r="B66" i="5" s="1"/>
  <c r="D66" i="5" l="1"/>
  <c r="E66" i="5" s="1"/>
  <c r="F66" i="5" s="1"/>
  <c r="B67" i="5" s="1"/>
  <c r="D67" i="5" l="1"/>
  <c r="E67" i="5" s="1"/>
  <c r="F67" i="5"/>
  <c r="B68" i="5" s="1"/>
  <c r="D68" i="5" l="1"/>
  <c r="E68" i="5" s="1"/>
  <c r="F68" i="5"/>
  <c r="B69" i="5" s="1"/>
  <c r="D69" i="5" l="1"/>
  <c r="E69" i="5" s="1"/>
  <c r="F69" i="5" s="1"/>
  <c r="B70" i="5" s="1"/>
  <c r="D70" i="5" l="1"/>
  <c r="E70" i="5" s="1"/>
  <c r="F70" i="5"/>
  <c r="B71" i="5" s="1"/>
  <c r="D71" i="5" l="1"/>
  <c r="E71" i="5" s="1"/>
  <c r="F71" i="5" s="1"/>
  <c r="B72" i="5" s="1"/>
  <c r="D72" i="5" l="1"/>
  <c r="E72" i="5" s="1"/>
  <c r="F72" i="5"/>
  <c r="B73" i="5" s="1"/>
  <c r="D73" i="5" l="1"/>
  <c r="E73" i="5" s="1"/>
  <c r="F73" i="5" s="1"/>
  <c r="B74" i="5" s="1"/>
  <c r="D74" i="5" l="1"/>
  <c r="E74" i="5" s="1"/>
  <c r="F74" i="5" s="1"/>
  <c r="B75" i="5" s="1"/>
  <c r="D75" i="5" l="1"/>
  <c r="E75" i="5" s="1"/>
  <c r="F75" i="5" s="1"/>
  <c r="B76" i="5" s="1"/>
  <c r="D76" i="5" l="1"/>
  <c r="E76" i="5" s="1"/>
  <c r="F76" i="5"/>
  <c r="B77" i="5" s="1"/>
  <c r="D77" i="5" l="1"/>
  <c r="E77" i="5" s="1"/>
  <c r="F77" i="5" s="1"/>
  <c r="B78" i="5" s="1"/>
  <c r="D78" i="5" l="1"/>
  <c r="E78" i="5" s="1"/>
  <c r="F78" i="5" s="1"/>
  <c r="B79" i="5" s="1"/>
  <c r="D79" i="5" l="1"/>
  <c r="E79" i="5" s="1"/>
  <c r="F79" i="5"/>
  <c r="B80" i="5" s="1"/>
  <c r="D80" i="5" l="1"/>
  <c r="E80" i="5" s="1"/>
  <c r="F80" i="5"/>
  <c r="B81" i="5" s="1"/>
  <c r="D81" i="5" l="1"/>
  <c r="E81" i="5" s="1"/>
  <c r="F81" i="5" s="1"/>
  <c r="B82" i="5" s="1"/>
  <c r="D82" i="5" l="1"/>
  <c r="E82" i="5" s="1"/>
  <c r="F82" i="5"/>
  <c r="B83" i="5" s="1"/>
  <c r="D83" i="5" l="1"/>
  <c r="E83" i="5" s="1"/>
  <c r="F83" i="5"/>
  <c r="B84" i="5" s="1"/>
  <c r="D84" i="5" l="1"/>
  <c r="E84" i="5" s="1"/>
  <c r="F84" i="5"/>
  <c r="B85" i="5" s="1"/>
  <c r="D85" i="5" l="1"/>
  <c r="E85" i="5" s="1"/>
  <c r="F85" i="5" s="1"/>
  <c r="B86" i="5" s="1"/>
  <c r="D86" i="5" l="1"/>
  <c r="E86" i="5" s="1"/>
  <c r="F86" i="5" s="1"/>
  <c r="B87" i="5" s="1"/>
  <c r="D87" i="5" l="1"/>
  <c r="E87" i="5" s="1"/>
  <c r="F87" i="5"/>
  <c r="B88" i="5" s="1"/>
  <c r="D88" i="5" l="1"/>
  <c r="E88" i="5" s="1"/>
  <c r="F88" i="5"/>
  <c r="B89" i="5" s="1"/>
  <c r="D89" i="5" l="1"/>
  <c r="E89" i="5" s="1"/>
  <c r="F89" i="5" s="1"/>
  <c r="B90" i="5" s="1"/>
  <c r="D90" i="5" l="1"/>
  <c r="E90" i="5" s="1"/>
  <c r="F90" i="5"/>
  <c r="B91" i="5" s="1"/>
  <c r="D91" i="5" l="1"/>
  <c r="E91" i="5" s="1"/>
  <c r="F91" i="5"/>
  <c r="B92" i="5" s="1"/>
  <c r="D92" i="5" l="1"/>
  <c r="E92" i="5" s="1"/>
  <c r="F92" i="5"/>
  <c r="B93" i="5" s="1"/>
  <c r="D93" i="5" l="1"/>
  <c r="E93" i="5" s="1"/>
  <c r="F93" i="5" s="1"/>
  <c r="B94" i="5" s="1"/>
  <c r="D94" i="5" l="1"/>
  <c r="E94" i="5" s="1"/>
  <c r="F94" i="5"/>
  <c r="B95" i="5" s="1"/>
  <c r="D95" i="5" l="1"/>
  <c r="E95" i="5" s="1"/>
  <c r="F95" i="5" s="1"/>
  <c r="B96" i="5" s="1"/>
  <c r="D96" i="5" l="1"/>
  <c r="E96" i="5" s="1"/>
  <c r="F96" i="5"/>
  <c r="B97" i="5" s="1"/>
  <c r="D97" i="5" l="1"/>
  <c r="E97" i="5" s="1"/>
  <c r="F97" i="5" s="1"/>
  <c r="B98" i="5" s="1"/>
  <c r="D98" i="5" l="1"/>
  <c r="E98" i="5" s="1"/>
  <c r="F98" i="5"/>
  <c r="B99" i="5" s="1"/>
  <c r="D99" i="5" l="1"/>
  <c r="E99" i="5" s="1"/>
  <c r="F99" i="5" s="1"/>
  <c r="B100" i="5" s="1"/>
  <c r="D100" i="5" l="1"/>
  <c r="E100" i="5" s="1"/>
  <c r="F100" i="5"/>
  <c r="B101" i="5" s="1"/>
  <c r="D101" i="5" l="1"/>
  <c r="E101" i="5" s="1"/>
  <c r="F101" i="5" s="1"/>
  <c r="B102" i="5" s="1"/>
  <c r="D102" i="5" l="1"/>
  <c r="E102" i="5" l="1"/>
  <c r="B34" i="6"/>
  <c r="B35" i="6" s="1"/>
  <c r="B15" i="5"/>
  <c r="C34" i="6"/>
  <c r="D34" i="6"/>
  <c r="D35" i="6" s="1"/>
  <c r="E34" i="6"/>
  <c r="E35" i="6" s="1"/>
  <c r="D36" i="6" l="1"/>
  <c r="D37" i="6"/>
  <c r="D39" i="6" s="1"/>
  <c r="B5" i="7"/>
  <c r="C35" i="6"/>
  <c r="E36" i="6"/>
  <c r="E37" i="6"/>
  <c r="E39" i="6" s="1"/>
  <c r="B36" i="6"/>
  <c r="B37" i="6" s="1"/>
  <c r="B39" i="6" s="1"/>
  <c r="B41" i="6" s="1"/>
  <c r="B40" i="6"/>
  <c r="C40" i="6"/>
  <c r="D40" i="6"/>
  <c r="E40" i="6"/>
  <c r="F102" i="5"/>
  <c r="E41" i="6" l="1"/>
  <c r="E13" i="7"/>
  <c r="E14" i="7" s="1"/>
  <c r="D13" i="7"/>
  <c r="D14" i="7" s="1"/>
  <c r="C13" i="7"/>
  <c r="C14" i="7" s="1"/>
  <c r="B13" i="7"/>
  <c r="B14" i="7" s="1"/>
  <c r="D41" i="6"/>
  <c r="C36" i="6"/>
  <c r="C37" i="6"/>
  <c r="C39" i="6" s="1"/>
  <c r="C41" i="6" l="1"/>
  <c r="B14" i="8"/>
  <c r="C16" i="7"/>
  <c r="C17" i="7" s="1"/>
  <c r="B15" i="8" s="1"/>
  <c r="C15" i="7"/>
  <c r="B16" i="7"/>
  <c r="B17" i="7" s="1"/>
  <c r="B15" i="7"/>
  <c r="D16" i="7"/>
  <c r="D17" i="7" s="1"/>
  <c r="D15" i="7"/>
  <c r="E16" i="7"/>
  <c r="E17" i="7" s="1"/>
  <c r="E15" i="7"/>
</calcChain>
</file>

<file path=xl/sharedStrings.xml><?xml version="1.0" encoding="utf-8"?>
<sst xmlns="http://schemas.openxmlformats.org/spreadsheetml/2006/main" count="305" uniqueCount="262">
  <si>
    <t>Part of the Restaurant Feasibility Toolkit · github.com/thomasgilodi-design/restaurant-feasibility-toolkit</t>
  </si>
  <si>
    <t>This template reproduces the structure of the financial model I built for my own restaurant venture,</t>
  </si>
  <si>
    <t>with all figures replaced by illustrative examples. It models a mid-size full-service restaurant in France.</t>
  </si>
  <si>
    <t>TABS, IN READING ORDER</t>
  </si>
  <si>
    <t>COLOUR CODE</t>
  </si>
  <si>
    <t>Blue text = input cell, edit me. All example values are illustrative, not real data.</t>
  </si>
  <si>
    <t>Black text = formula, do not overwrite.</t>
  </si>
  <si>
    <t>Green text = formula linked to another tab.</t>
  </si>
  <si>
    <t>CONVENTIONS &amp; LIMITS</t>
  </si>
  <si>
    <t>All figures excl. VAT unless stated. French conventions: VAT 10% food / 20% alcohol, employer charges ~42% of gross.</t>
  </si>
  <si>
    <t>Year 1 applies the monthly ramp-up; Year 2+ = cruise speed plus annual growth. Operating costs are indexed yearly.</t>
  </si>
  <si>
    <t>Rent is held flat (typical 3-6-9 lease); payroll grows with the wage-growth input; headcount is held constant.</t>
  </si>
  <si>
    <t>Assumptions</t>
  </si>
  <si>
    <t>Lunch</t>
  </si>
  <si>
    <t>Dinner</t>
  </si>
  <si>
    <t>Delivery</t>
  </si>
  <si>
    <t>Average basket (incl. VAT)</t>
  </si>
  <si>
    <t>Average VAT rate</t>
  </si>
  <si>
    <t>Average basket (excl. VAT)</t>
  </si>
  <si>
    <t>Customers / standard day (cruise speed)</t>
  </si>
  <si>
    <t>WEEKLY PATTERN (coefficient vs a standard day; 0 = closed)</t>
  </si>
  <si>
    <t>Monday</t>
  </si>
  <si>
    <t>Tuesday</t>
  </si>
  <si>
    <t>Wednesday</t>
  </si>
  <si>
    <t>Thursday</t>
  </si>
  <si>
    <t>Friday</t>
  </si>
  <si>
    <t>Saturday</t>
  </si>
  <si>
    <t>Sunday</t>
  </si>
  <si>
    <t>Weekly index (standard days / week)</t>
  </si>
  <si>
    <t>OPERATING CALENDAR</t>
  </si>
  <si>
    <t>Weeks per month</t>
  </si>
  <si>
    <t>Months of operation / year</t>
  </si>
  <si>
    <t>Allows for annual closure, holidays and dead weeks</t>
  </si>
  <si>
    <t>YEAR 1 RAMP-UP (% below cruise speed, by month)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</si>
  <si>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</si>
  <si>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</si>
  <si>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</si>
  <si>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</si>
  <si>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</si>
  <si>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</si>
  <si>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</si>
  <si>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</si>
  <si>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</si>
  <si>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</si>
  <si>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</si>
  <si>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</si>
  <si>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Ramp-up coefficient</t>
  </si>
  <si>
    <t>ANNUAL REVENUE GROWTH (after Year 1)</t>
  </si>
  <si>
    <t>Year 2</t>
  </si>
  <si>
    <t>Year 3</t>
  </si>
  <si>
    <t>Year 4</t>
  </si>
  <si>
    <t>Growth vs previous year</t>
  </si>
  <si>
    <t>DIRECT COSTS (% of revenue excl. VAT)</t>
  </si>
  <si>
    <t>Food &amp; beverage cost</t>
  </si>
  <si>
    <t>Benchmark: 25–32%</t>
  </si>
  <si>
    <t>Packaging</t>
  </si>
  <si>
    <t>Mostly delivery/takeaway</t>
  </si>
  <si>
    <t>Cleaning products</t>
  </si>
  <si>
    <t>Dishware &amp; smallware renewal</t>
  </si>
  <si>
    <t>OPERATING COSTS (annual, Year 1 basis)</t>
  </si>
  <si>
    <t>Rent &amp; charges</t>
  </si>
  <si>
    <t>Test other levels in the BreakEven tab before signing</t>
  </si>
  <si>
    <t>Energy</t>
  </si>
  <si>
    <t>Maintenance</t>
  </si>
  <si>
    <t>Marketing</t>
  </si>
  <si>
    <t>Software &amp; POS</t>
  </si>
  <si>
    <t>Small equipment</t>
  </si>
  <si>
    <t>Bank &amp; insurance</t>
  </si>
  <si>
    <t>Legal</t>
  </si>
  <si>
    <t>Accounting</t>
  </si>
  <si>
    <t>Other costs (% of revenue)</t>
  </si>
  <si>
    <t>Annual cost indexation</t>
  </si>
  <si>
    <t>Applied to all cost lines above except rent</t>
  </si>
  <si>
    <t>PAYROLL (roster)</t>
  </si>
  <si>
    <t>Position</t>
  </si>
  <si>
    <t>Monthly gross</t>
  </si>
  <si>
    <t>Headcount</t>
  </si>
  <si>
    <t>Manager</t>
  </si>
  <si>
    <t>Head chef</t>
  </si>
  <si>
    <t>Sous-chef</t>
  </si>
  <si>
    <t>Cook</t>
  </si>
  <si>
    <t>Waiter (chef de rang)</t>
  </si>
  <si>
    <t>Dishwasher</t>
  </si>
  <si>
    <t>Employer charges (% of gross)</t>
  </si>
  <si>
    <t>Annual wage growth</t>
  </si>
  <si>
    <t>TAXES</t>
  </si>
  <si>
    <t>Payroll-based taxes (% of gross payroll)</t>
  </si>
  <si>
    <t>Training levy + apprenticeship tax, approx.</t>
  </si>
  <si>
    <t>Corporate tax rate</t>
  </si>
  <si>
    <t>CAPACITY (for KPIs)</t>
  </si>
  <si>
    <t>Seats</t>
  </si>
  <si>
    <t>Surface (m²)</t>
  </si>
  <si>
    <t>Opening hours / week</t>
  </si>
  <si>
    <t>DAILY REVENUE AT CRUISE SPEED</t>
  </si>
  <si>
    <t>TOTAL</t>
  </si>
  <si>
    <t>Customers / standard day</t>
  </si>
  <si>
    <t>Revenue / standard day</t>
  </si>
  <si>
    <t>Weekly index (from weekly pattern)</t>
  </si>
  <si>
    <t>Revenue / week</t>
  </si>
  <si>
    <t>Revenue / month</t>
  </si>
  <si>
    <t>Revenue / year (cruise speed)</t>
  </si>
  <si>
    <t>Total / month</t>
  </si>
  <si>
    <t>Year 1 revenue (adjusted for closures)</t>
  </si>
  <si>
    <t>Investment Plan &amp; Funding</t>
  </si>
  <si>
    <t>Item</t>
  </si>
  <si>
    <t>Amount</t>
  </si>
  <si>
    <t>Depr. (years)</t>
  </si>
  <si>
    <t>Annual depr.</t>
  </si>
  <si>
    <t>Works &amp; renovation</t>
  </si>
  <si>
    <t>Restaurant-experienced contractors only; +15–20% contingency in quotes</t>
  </si>
  <si>
    <t>Kitchen equipment</t>
  </si>
  <si>
    <t>Second-hand can cut this 30–50%</t>
  </si>
  <si>
    <t>Furniture &amp; decor</t>
  </si>
  <si>
    <t>Signage &amp; visual identity</t>
  </si>
  <si>
    <t>Subtotal capex</t>
  </si>
  <si>
    <t>NON-DEPRECIABLE</t>
  </si>
  <si>
    <t>Key money / droit au bail / fonds de commerce</t>
  </si>
  <si>
    <t>Lease guarantee &amp; deposit</t>
  </si>
  <si>
    <t>Subtotal</t>
  </si>
  <si>
    <t>FEES</t>
  </si>
  <si>
    <t>Architect &amp; design</t>
  </si>
  <si>
    <t>Legal &amp; company creation</t>
  </si>
  <si>
    <t>Agency / brokerage fees</t>
  </si>
  <si>
    <t>PRE-OPENING</t>
  </si>
  <si>
    <t>Pre-opening marketing</t>
  </si>
  <si>
    <t>Training &amp; pre-opening payroll</t>
  </si>
  <si>
    <t>Initial stock</t>
  </si>
  <si>
    <t>WORKING CAPITAL &amp; CASH RESERVE</t>
  </si>
  <si>
    <t>Stock rotation (days)</t>
  </si>
  <si>
    <t>Customer credit (days)</t>
  </si>
  <si>
    <t>Supplier credit (days)</t>
  </si>
  <si>
    <t>Working capital (BFR)</t>
  </si>
  <si>
    <t>Stock + customer credit − supplier credit; often near zero or negative in restaurants</t>
  </si>
  <si>
    <t>Months of fixed costs held in cash reserve</t>
  </si>
  <si>
    <t>Most failures are cash-outs during ramp-up, not bad concepts</t>
  </si>
  <si>
    <t>Cash reserve</t>
  </si>
  <si>
    <t>TOTAL NEEDS</t>
  </si>
  <si>
    <t>FUNDING PLAN</t>
  </si>
  <si>
    <t>Founder equity</t>
  </si>
  <si>
    <t>Banks expect meaningful skin in the game</t>
  </si>
  <si>
    <t>Love money / family &amp; friends</t>
  </si>
  <si>
    <t>Investor equity (business angels)</t>
  </si>
  <si>
    <t>Bank loan</t>
  </si>
  <si>
    <t>Set the amount in the Loan tab; keep ≤ ~50% of total funding</t>
  </si>
  <si>
    <t>Honour loans &amp; subsidies</t>
  </si>
  <si>
    <t>Réseau Entreprendre, Initiative France… interest-free and a strong signal to banks</t>
  </si>
  <si>
    <t>TOTAL FUNDING</t>
  </si>
  <si>
    <t>Surplus / (gap)</t>
  </si>
  <si>
    <t>Must be ≥ 0</t>
  </si>
  <si>
    <t>Loan Amortisation (constant annuities, with deferral)</t>
  </si>
  <si>
    <t>PARAMETERS</t>
  </si>
  <si>
    <t>Principal</t>
  </si>
  <si>
    <t>Annual interest rate</t>
  </si>
  <si>
    <t>Duration (years)</t>
  </si>
  <si>
    <t>Payments / year</t>
  </si>
  <si>
    <t>Interest-only months (deferral)</t>
  </si>
  <si>
    <t>Negotiate a deferral so capital repayment starts after the ramp-up</t>
  </si>
  <si>
    <t>COMPUTED</t>
  </si>
  <si>
    <t>Periodic rate</t>
  </si>
  <si>
    <t>Total payments</t>
  </si>
  <si>
    <t>Payment during deferral (interest only)</t>
  </si>
  <si>
    <t>Payment during amortisation</t>
  </si>
  <si>
    <t>Total interest paid</t>
  </si>
  <si>
    <t>MONTHLY TABLE</t>
  </si>
  <si>
    <t>#</t>
  </si>
  <si>
    <t>Opening balance</t>
  </si>
  <si>
    <t>Payment</t>
  </si>
  <si>
    <t>Interest</t>
  </si>
  <si>
    <t>Closing balance</t>
  </si>
  <si>
    <t>Year</t>
  </si>
  <si>
    <t>Year 1 (ramp-up)</t>
  </si>
  <si>
    <t>Revenue</t>
  </si>
  <si>
    <t>Y1 = ramped; Y2 = cruise speed + growth; then annual growth</t>
  </si>
  <si>
    <t>Dishware renewal</t>
  </si>
  <si>
    <t>Total direct costs</t>
  </si>
  <si>
    <t>Gross margin</t>
  </si>
  <si>
    <t>Gross margin %</t>
  </si>
  <si>
    <t>Held flat (3-6-9 lease)</t>
  </si>
  <si>
    <t>Other costs</t>
  </si>
  <si>
    <t>Total operating costs</t>
  </si>
  <si>
    <t>Gross salaries</t>
  </si>
  <si>
    <t>Roster held constant; wages grow with the wage-growth input</t>
  </si>
  <si>
    <t>Employer social charges</t>
  </si>
  <si>
    <t>Payroll-based taxes</t>
  </si>
  <si>
    <t>Total staff costs</t>
  </si>
  <si>
    <t>EBITDA</t>
  </si>
  <si>
    <t>EBITDA %</t>
  </si>
  <si>
    <t>Depreciation</t>
  </si>
  <si>
    <t>Loan interest</t>
  </si>
  <si>
    <t>Profit before tax</t>
  </si>
  <si>
    <t>Corporate tax</t>
  </si>
  <si>
    <t>NET INCOME</t>
  </si>
  <si>
    <t>Cash flow (net income + depreciation)</t>
  </si>
  <si>
    <t>Loan principal repaid</t>
  </si>
  <si>
    <t>Free cash after debt service</t>
  </si>
  <si>
    <t>SHARED INPUTS</t>
  </si>
  <si>
    <t>Contribution margin (1 − variable cost %)</t>
  </si>
  <si>
    <t>Annual fixed costs excl. rent</t>
  </si>
  <si>
    <t>Staff + operating costs (net of rent) + depreciation + interest, Year 2</t>
  </si>
  <si>
    <t>Average basket (excl. VAT, weighted)</t>
  </si>
  <si>
    <t>Planned covers / week (cruise speed)</t>
  </si>
  <si>
    <t>SCENARIOS</t>
  </si>
  <si>
    <t>Scenario A</t>
  </si>
  <si>
    <t>Scenario B</t>
  </si>
  <si>
    <t>Scenario C</t>
  </si>
  <si>
    <t>Scenario D</t>
  </si>
  <si>
    <t>Monthly rent</t>
  </si>
  <si>
    <t>Annual rent</t>
  </si>
  <si>
    <t>Total annual fixed costs</t>
  </si>
  <si>
    <t>Break-even revenue (excl. VAT)</t>
  </si>
  <si>
    <t>Break-even revenue / month</t>
  </si>
  <si>
    <t>Break-even covers / week</t>
  </si>
  <si>
    <t>% of planned capacity</t>
  </si>
  <si>
    <t>Stress test: cut customers/day by 20% in Assumptions and watch this table before signing any lease.</t>
  </si>
  <si>
    <t>KPI</t>
  </si>
  <si>
    <t>Value</t>
  </si>
  <si>
    <t>Benchmark low</t>
  </si>
  <si>
    <t>Benchmark high</t>
  </si>
  <si>
    <t>Revenue / year (cruise, excl. VAT)</t>
  </si>
  <si>
    <t>Revenue / seat</t>
  </si>
  <si>
    <t>Revenue / m²</t>
  </si>
  <si>
    <t>Revenue / opening hour (RevPAH)</t>
  </si>
  <si>
    <t>Food &amp; beverage cost %</t>
  </si>
  <si>
    <t>Staff costs / revenue (Year 2)</t>
  </si>
  <si>
    <t>Rent / revenue (Year 2)</t>
  </si>
  <si>
    <t>Above 10% at cruise speed is a red flag</t>
  </si>
  <si>
    <t>EBITDA margin (Year 2)</t>
  </si>
  <si>
    <t>If you are above the high benchmark, re-check your assumptions</t>
  </si>
  <si>
    <t>Total initial investment</t>
  </si>
  <si>
    <t>Investment / annual revenue</t>
  </si>
  <si>
    <t>Payback (years, on Year-2 cash flow)</t>
  </si>
  <si>
    <t>Break-even capacity use (Scenario B)</t>
  </si>
  <si>
    <t>Above 85%: no margin for error</t>
  </si>
  <si>
    <t>Restaurant Financial Model - Template</t>
  </si>
  <si>
    <t>Assumptions - every hypothesis in one place: baskets &amp; customers per daypart, weekly pattern, ramp-up, costs, payroll.</t>
  </si>
  <si>
    <t>Revenue - the revenue equation: basket × customers × weekly pattern × operating calendar, plus Year-1 monthly ramp-up.</t>
  </si>
  <si>
    <t>PnL - 4-year profit &amp; loss down to net income and cash flow after debt service.</t>
  </si>
  <si>
    <t>Investment - opening needs (capex, key money, fees, working capital, cash reserve) and the funding plan.</t>
  </si>
  <si>
    <t>Loan - full monthly amortisation table, with an interest-only deferral period.</t>
  </si>
  <si>
    <t>BreakEven - break-even revenue and covers at four rent scenarios: test locations BEFORE signing.</t>
  </si>
  <si>
    <t>KPIs - sanity-check dashboard against industry benchmarks.</t>
  </si>
  <si>
    <t>Year 2+ margins in the example sit on the optimistic side - always stress-test at −20% revenue before believing them.</t>
  </si>
  <si>
    <t>Example figures only - a method, not a promise. Author: Thomas Gilodi, 2026 - MIT License.</t>
  </si>
  <si>
    <t>Blue cells = inputs. Example values - replace with your own.</t>
  </si>
  <si>
    <t>REVENUE DRIVERS - PER DAYPART</t>
  </si>
  <si>
    <t>10% food, 20% alcohol - weight by drinks share of each daypart</t>
  </si>
  <si>
    <t>A realistic full day once established - not your best day ever</t>
  </si>
  <si>
    <t>Total monthly gross payroll - headcount</t>
  </si>
  <si>
    <t>Revenue Build - from basket to annual revenue</t>
  </si>
  <si>
    <t>WEEKLY, MONTHLY, ANNUAL - CRUISE SPEED</t>
  </si>
  <si>
    <t>YEAR 1 - MONTHLY RAMP-UP</t>
  </si>
  <si>
    <t>12 ramped months scaled by the operating-months factor - feeds the PnL</t>
  </si>
  <si>
    <t>CAPEX - DEPRECIABLE</t>
  </si>
  <si>
    <t>Hugely variable by city and street - often the single biggest line, and negotiable</t>
  </si>
  <si>
    <t>Restaurants are paid cash - near zero</t>
  </si>
  <si>
    <t>Price the equity carefully - hard to undo</t>
  </si>
  <si>
    <t>Profit &amp; Loss - 4-Year Forecast (excl. VAT)</t>
  </si>
  <si>
    <t>From the amortisation table - note the deferral effect in Year 1</t>
  </si>
  <si>
    <t>Break-Even - 4 Rent Scenarios (Year 2 cruise-speed basis)</t>
  </si>
  <si>
    <t>Reading: above ~85% of planned capacity, the location leaves no margin for error - walk away or renegotiate.</t>
  </si>
  <si>
    <t>KPI Dashboard - sanity checks</t>
  </si>
  <si>
    <t>Benchmarks are broad French full-service-restaurant ranges - adjust to your segment.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</si>
</sst>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&quot; €&quot;;\(#,##0&quot; €)&quot;;\-"/>
    <numFmt numFmtId="165" formatCode="0.0%"/>
    <numFmt numFmtId="166" formatCode="#,##0.00&quot; €&quot;;\(#,##0.00&quot; €)&quot;;\-"/>
    <numFmt numFmtId="167" formatCode="#,##0;\(#,##0\);\-"/>
    <numFmt numFmtId="168" formatCode="0.000%"/>
    <numFmt numFmtId="169" formatCode="#,##0.0;\(#,##0.0\);\-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9"/>
      <color rgb="FF80808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404040"/>
        <bgColor rgb="FF333300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2" borderId="0" xfId="0" applyFont="1" applyFill="1"/>
    <xf numFmtId="0" fontId="0" fillId="2" borderId="0" xfId="0" applyFill="1"/>
    <xf numFmtId="0" fontId="7" fillId="3" borderId="0" xfId="0" applyFont="1" applyFill="1" applyAlignment="1">
      <alignment horizontal="center"/>
    </xf>
    <xf numFmtId="164" fontId="5" fillId="0" borderId="0" xfId="0" applyNumberFormat="1" applyFont="1"/>
    <xf numFmtId="165" fontId="5" fillId="0" borderId="0" xfId="0" applyNumberFormat="1" applyFont="1"/>
    <xf numFmtId="166" fontId="3" fillId="0" borderId="0" xfId="0" applyNumberFormat="1" applyFont="1"/>
    <xf numFmtId="167" fontId="5" fillId="0" borderId="0" xfId="0" applyNumberFormat="1" applyFont="1"/>
    <xf numFmtId="2" fontId="5" fillId="0" borderId="0" xfId="0" applyNumberFormat="1" applyFont="1"/>
    <xf numFmtId="2" fontId="4" fillId="0" borderId="1" xfId="0" applyNumberFormat="1" applyFont="1" applyBorder="1"/>
    <xf numFmtId="9" fontId="5" fillId="0" borderId="0" xfId="0" applyNumberFormat="1" applyFont="1"/>
    <xf numFmtId="164" fontId="4" fillId="0" borderId="1" xfId="0" applyNumberFormat="1" applyFont="1" applyBorder="1"/>
    <xf numFmtId="167" fontId="4" fillId="0" borderId="1" xfId="0" applyNumberFormat="1" applyFont="1" applyBorder="1"/>
    <xf numFmtId="166" fontId="6" fillId="0" borderId="0" xfId="0" applyNumberFormat="1" applyFont="1"/>
    <xf numFmtId="167" fontId="6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2" fontId="6" fillId="0" borderId="0" xfId="0" applyNumberFormat="1" applyFont="1"/>
    <xf numFmtId="9" fontId="6" fillId="0" borderId="0" xfId="0" applyNumberFormat="1" applyFont="1"/>
    <xf numFmtId="164" fontId="4" fillId="0" borderId="2" xfId="0" applyNumberFormat="1" applyFont="1" applyBorder="1"/>
    <xf numFmtId="164" fontId="6" fillId="0" borderId="0" xfId="0" applyNumberFormat="1" applyFont="1"/>
    <xf numFmtId="168" fontId="3" fillId="0" borderId="0" xfId="0" applyNumberFormat="1" applyFont="1"/>
    <xf numFmtId="167" fontId="3" fillId="0" borderId="0" xfId="0" applyNumberFormat="1" applyFont="1"/>
    <xf numFmtId="0" fontId="0" fillId="3" borderId="0" xfId="0" applyFill="1"/>
    <xf numFmtId="165" fontId="3" fillId="0" borderId="0" xfId="0" applyNumberFormat="1" applyFont="1"/>
    <xf numFmtId="164" fontId="3" fillId="0" borderId="1" xfId="0" applyNumberFormat="1" applyFont="1" applyBorder="1"/>
    <xf numFmtId="165" fontId="6" fillId="0" borderId="0" xfId="0" applyNumberFormat="1" applyFont="1"/>
    <xf numFmtId="169" fontId="6" fillId="0" borderId="0" xfId="0" applyNumberFormat="1" applyFont="1"/>
    <xf numFmtId="169" fontId="3" fillId="0" borderId="0" xfId="0" applyNumberFormat="1" applyFont="1"/>
    <xf numFmtId="165" fontId="4" fillId="0" borderId="0" xfId="0" applyNumberFormat="1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zoomScaleNormal="100" workbookViewId="0"/>
  </sheetViews>
  <sheetFormatPr baseColWidth="10" defaultColWidth="8.6640625" defaultRowHeight="15" x14ac:dyDescent="0.2"/>
  <cols>
    <col min="1" max="1" width="105" customWidth="1"/>
  </cols>
  <sheetData>
    <row r="1" spans="1:1" ht="18" x14ac:dyDescent="0.2">
      <c r="A1" s="1" t="s">
        <v>233</v>
      </c>
    </row>
    <row r="2" spans="1:1" x14ac:dyDescent="0.2">
      <c r="A2" s="2" t="s">
        <v>0</v>
      </c>
    </row>
    <row r="4" spans="1:1" x14ac:dyDescent="0.2">
      <c r="A4" s="3" t="s">
        <v>1</v>
      </c>
    </row>
    <row r="5" spans="1:1" x14ac:dyDescent="0.2">
      <c r="A5" s="3" t="s">
        <v>2</v>
      </c>
    </row>
    <row r="7" spans="1:1" x14ac:dyDescent="0.2">
      <c r="A7" s="4" t="s">
        <v>3</v>
      </c>
    </row>
    <row r="8" spans="1:1" x14ac:dyDescent="0.2">
      <c r="A8" s="3" t="s">
        <v>234</v>
      </c>
    </row>
    <row r="9" spans="1:1" x14ac:dyDescent="0.2">
      <c r="A9" s="3" t="s">
        <v>235</v>
      </c>
    </row>
    <row r="10" spans="1:1" x14ac:dyDescent="0.2">
      <c r="A10" s="3" t="s">
        <v>236</v>
      </c>
    </row>
    <row r="11" spans="1:1" x14ac:dyDescent="0.2">
      <c r="A11" s="3" t="s">
        <v>237</v>
      </c>
    </row>
    <row r="12" spans="1:1" x14ac:dyDescent="0.2">
      <c r="A12" s="3" t="s">
        <v>238</v>
      </c>
    </row>
    <row r="13" spans="1:1" x14ac:dyDescent="0.2">
      <c r="A13" s="3" t="s">
        <v>239</v>
      </c>
    </row>
    <row r="14" spans="1:1" x14ac:dyDescent="0.2">
      <c r="A14" s="3" t="s">
        <v>240</v>
      </c>
    </row>
    <row r="16" spans="1:1" x14ac:dyDescent="0.2">
      <c r="A16" s="4" t="s">
        <v>4</v>
      </c>
    </row>
    <row r="17" spans="1:1" x14ac:dyDescent="0.2">
      <c r="A17" s="5" t="s">
        <v>5</v>
      </c>
    </row>
    <row r="18" spans="1:1" x14ac:dyDescent="0.2">
      <c r="A18" s="3" t="s">
        <v>6</v>
      </c>
    </row>
    <row r="19" spans="1:1" x14ac:dyDescent="0.2">
      <c r="A19" s="6" t="s">
        <v>7</v>
      </c>
    </row>
    <row r="21" spans="1:1" x14ac:dyDescent="0.2">
      <c r="A21" s="4" t="s">
        <v>8</v>
      </c>
    </row>
    <row r="22" spans="1:1" x14ac:dyDescent="0.2">
      <c r="A22" s="3" t="s">
        <v>9</v>
      </c>
    </row>
    <row r="23" spans="1:1" x14ac:dyDescent="0.2">
      <c r="A23" s="3" t="s">
        <v>10</v>
      </c>
    </row>
    <row r="24" spans="1:1" x14ac:dyDescent="0.2">
      <c r="A24" s="3" t="s">
        <v>11</v>
      </c>
    </row>
    <row r="25" spans="1:1" x14ac:dyDescent="0.2">
      <c r="A25" s="3" t="s">
        <v>241</v>
      </c>
    </row>
    <row r="27" spans="1:1" x14ac:dyDescent="0.2">
      <c r="A27" s="2" t="s">
        <v>242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1"/>
  <sheetViews>
    <sheetView zoomScaleNormal="100" workbookViewId="0"/>
  </sheetViews>
  <sheetFormatPr baseColWidth="10" defaultColWidth="8.6640625" defaultRowHeight="15" x14ac:dyDescent="0.2"/>
  <cols>
    <col min="1" max="1" width="40" customWidth="1"/>
    <col min="2" max="13" width="11" customWidth="1"/>
  </cols>
  <sheetData>
    <row r="1" spans="1:6" ht="18" x14ac:dyDescent="0.2">
      <c r="A1" s="1" t="s">
        <v>12</v>
      </c>
      <c r="C1" s="2" t="s">
        <v>243</v>
      </c>
    </row>
    <row r="3" spans="1:6" x14ac:dyDescent="0.2">
      <c r="A3" s="7" t="s">
        <v>244</v>
      </c>
      <c r="B3" s="8"/>
      <c r="C3" s="8"/>
      <c r="D3" s="8"/>
      <c r="E3" s="8"/>
      <c r="F3" s="8"/>
    </row>
    <row r="4" spans="1:6" x14ac:dyDescent="0.2">
      <c r="B4" s="9" t="s">
        <v>13</v>
      </c>
      <c r="C4" s="9" t="s">
        <v>14</v>
      </c>
      <c r="D4" s="9" t="s">
        <v>15</v>
      </c>
    </row>
    <row r="5" spans="1:6" x14ac:dyDescent="0.2">
      <c r="A5" s="3" t="s">
        <v>16</v>
      </c>
      <c r="B5" s="10">
        <v>24</v>
      </c>
      <c r="C5" s="10">
        <v>42</v>
      </c>
      <c r="D5" s="10">
        <v>26</v>
      </c>
    </row>
    <row r="6" spans="1:6" x14ac:dyDescent="0.2">
      <c r="A6" s="3" t="s">
        <v>17</v>
      </c>
      <c r="B6" s="11">
        <v>0.11</v>
      </c>
      <c r="C6" s="11">
        <v>0.14000000000000001</v>
      </c>
      <c r="D6" s="11">
        <v>0.1</v>
      </c>
      <c r="E6" s="2" t="s">
        <v>245</v>
      </c>
    </row>
    <row r="7" spans="1:6" x14ac:dyDescent="0.2">
      <c r="A7" s="3" t="s">
        <v>18</v>
      </c>
      <c r="B7" s="12">
        <f>B5/(1+B6)</f>
        <v>21.621621621621621</v>
      </c>
      <c r="C7" s="12">
        <f>C5/(1+C6)</f>
        <v>36.84210526315789</v>
      </c>
      <c r="D7" s="12">
        <f>D5/(1+D6)</f>
        <v>23.636363636363633</v>
      </c>
    </row>
    <row r="8" spans="1:6" x14ac:dyDescent="0.2">
      <c r="A8" s="3" t="s">
        <v>19</v>
      </c>
      <c r="B8" s="13">
        <v>40</v>
      </c>
      <c r="C8" s="13">
        <v>60</v>
      </c>
      <c r="D8" s="13">
        <v>12</v>
      </c>
      <c r="E8" s="2" t="s">
        <v>246</v>
      </c>
    </row>
    <row r="10" spans="1:6" x14ac:dyDescent="0.2">
      <c r="A10" s="7" t="s">
        <v>20</v>
      </c>
      <c r="B10" s="8"/>
      <c r="C10" s="8"/>
      <c r="D10" s="8"/>
      <c r="E10" s="8"/>
      <c r="F10" s="8"/>
    </row>
    <row r="11" spans="1:6" x14ac:dyDescent="0.2">
      <c r="B11" s="9" t="s">
        <v>13</v>
      </c>
      <c r="C11" s="9" t="s">
        <v>14</v>
      </c>
      <c r="D11" s="9" t="s">
        <v>15</v>
      </c>
    </row>
    <row r="12" spans="1:6" x14ac:dyDescent="0.2">
      <c r="A12" s="3" t="s">
        <v>21</v>
      </c>
      <c r="B12" s="14">
        <v>0.8</v>
      </c>
      <c r="C12" s="14">
        <v>0.8</v>
      </c>
      <c r="D12" s="14">
        <v>0.8</v>
      </c>
    </row>
    <row r="13" spans="1:6" x14ac:dyDescent="0.2">
      <c r="A13" s="3" t="s">
        <v>22</v>
      </c>
      <c r="B13" s="14">
        <v>0.8</v>
      </c>
      <c r="C13" s="14">
        <v>0.8</v>
      </c>
      <c r="D13" s="14">
        <v>0.8</v>
      </c>
    </row>
    <row r="14" spans="1:6" x14ac:dyDescent="0.2">
      <c r="A14" s="3" t="s">
        <v>23</v>
      </c>
      <c r="B14" s="14">
        <v>1</v>
      </c>
      <c r="C14" s="14">
        <v>1</v>
      </c>
      <c r="D14" s="14">
        <v>1</v>
      </c>
    </row>
    <row r="15" spans="1:6" x14ac:dyDescent="0.2">
      <c r="A15" s="3" t="s">
        <v>24</v>
      </c>
      <c r="B15" s="14">
        <v>1</v>
      </c>
      <c r="C15" s="14">
        <v>1.2</v>
      </c>
      <c r="D15" s="14">
        <v>1</v>
      </c>
    </row>
    <row r="16" spans="1:6" x14ac:dyDescent="0.2">
      <c r="A16" s="3" t="s">
        <v>25</v>
      </c>
      <c r="B16" s="14">
        <v>1.2</v>
      </c>
      <c r="C16" s="14">
        <v>1.5</v>
      </c>
      <c r="D16" s="14">
        <v>1.2</v>
      </c>
    </row>
    <row r="17" spans="1:13" x14ac:dyDescent="0.2">
      <c r="A17" s="3" t="s">
        <v>26</v>
      </c>
      <c r="B17" s="14">
        <v>1.2</v>
      </c>
      <c r="C17" s="14">
        <v>1.5</v>
      </c>
      <c r="D17" s="14">
        <v>0.8</v>
      </c>
    </row>
    <row r="18" spans="1:13" x14ac:dyDescent="0.2">
      <c r="A18" s="3" t="s">
        <v>27</v>
      </c>
      <c r="B18" s="14">
        <v>0</v>
      </c>
      <c r="C18" s="14">
        <v>0</v>
      </c>
      <c r="D18" s="14">
        <v>0</v>
      </c>
    </row>
    <row r="19" spans="1:13" x14ac:dyDescent="0.2">
      <c r="A19" s="4" t="s">
        <v>28</v>
      </c>
      <c r="B19" s="15">
        <f>SUM(B12:B18)</f>
        <v>6</v>
      </c>
      <c r="C19" s="15">
        <f>SUM(C12:C18)</f>
        <v>6.8</v>
      </c>
      <c r="D19" s="15">
        <f>SUM(D12:D18)</f>
        <v>5.6</v>
      </c>
    </row>
    <row r="21" spans="1:13" x14ac:dyDescent="0.2">
      <c r="A21" s="7" t="s">
        <v>29</v>
      </c>
      <c r="B21" s="8"/>
      <c r="C21" s="8"/>
      <c r="D21" s="8"/>
      <c r="E21" s="8"/>
      <c r="F21" s="8"/>
    </row>
    <row r="22" spans="1:13" x14ac:dyDescent="0.2">
      <c r="A22" s="3" t="s">
        <v>30</v>
      </c>
      <c r="B22" s="14">
        <v>4.33</v>
      </c>
    </row>
    <row r="23" spans="1:13" x14ac:dyDescent="0.2">
      <c r="A23" s="3" t="s">
        <v>31</v>
      </c>
      <c r="B23" s="14">
        <v>10.5</v>
      </c>
      <c r="C23" s="2" t="s">
        <v>32</v>
      </c>
    </row>
    <row r="25" spans="1:13" x14ac:dyDescent="0.2">
      <c r="A25" s="7" t="s">
        <v>33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x14ac:dyDescent="0.2">
      <c r="B26" s="9" t="s">
        <v>34</v>
      </c>
      <c r="C26" s="9" t="s">
        <v>35</v>
      </c>
      <c r="D26" s="9" t="s">
        <v>36</v>
      </c>
      <c r="E26" s="9" t="s">
        <v>37</v>
      </c>
      <c r="F26" s="9" t="s">
        <v>38</v>
      </c>
      <c r="G26" s="9" t="s">
        <v>39</v>
      </c>
      <c r="H26" s="9" t="s">
        <v>40</v>
      </c>
      <c r="I26" s="9" t="s">
        <v>41</v>
      </c>
      <c r="J26" s="9" t="s">
        <v>42</v>
      </c>
      <c r="K26" s="9" t="s">
        <v>43</v>
      </c>
      <c r="L26" s="9" t="s">
        <v>44</v>
      </c>
      <c r="M26" s="9" t="s">
        <v>45</v>
      </c>
    </row>
    <row r="27" spans="1:13" x14ac:dyDescent="0.2">
      <c r="A27" s="3" t="s">
        <v>46</v>
      </c>
      <c r="B27" s="16">
        <v>-0.5</v>
      </c>
      <c r="C27" s="16">
        <v>-0.4</v>
      </c>
      <c r="D27" s="16">
        <v>-0.35</v>
      </c>
      <c r="E27" s="16">
        <v>-0.3</v>
      </c>
      <c r="F27" s="16">
        <v>-0.25</v>
      </c>
      <c r="G27" s="16">
        <v>-0.2</v>
      </c>
      <c r="H27" s="16">
        <v>-0.15</v>
      </c>
      <c r="I27" s="16">
        <v>-0.1</v>
      </c>
      <c r="J27" s="16">
        <v>-0.1</v>
      </c>
      <c r="K27" s="16">
        <v>-0.05</v>
      </c>
      <c r="L27" s="16">
        <v>-0.05</v>
      </c>
      <c r="M27" s="16">
        <v>0</v>
      </c>
    </row>
    <row r="29" spans="1:13" x14ac:dyDescent="0.2">
      <c r="A29" s="7" t="s">
        <v>47</v>
      </c>
      <c r="B29" s="8"/>
      <c r="C29" s="8"/>
      <c r="D29" s="8"/>
      <c r="E29" s="8"/>
      <c r="F29" s="8"/>
    </row>
    <row r="30" spans="1:13" x14ac:dyDescent="0.2">
      <c r="B30" s="9" t="s">
        <v>48</v>
      </c>
      <c r="C30" s="9" t="s">
        <v>49</v>
      </c>
      <c r="D30" s="9" t="s">
        <v>50</v>
      </c>
    </row>
    <row r="31" spans="1:13" x14ac:dyDescent="0.2">
      <c r="A31" s="3" t="s">
        <v>51</v>
      </c>
      <c r="B31" s="11">
        <v>0.1</v>
      </c>
      <c r="C31" s="11">
        <v>0.06</v>
      </c>
      <c r="D31" s="11">
        <v>0.04</v>
      </c>
    </row>
    <row r="33" spans="1:6" x14ac:dyDescent="0.2">
      <c r="A33" s="7" t="s">
        <v>52</v>
      </c>
      <c r="B33" s="8"/>
      <c r="C33" s="8"/>
      <c r="D33" s="8"/>
      <c r="E33" s="8"/>
      <c r="F33" s="8"/>
    </row>
    <row r="34" spans="1:6" x14ac:dyDescent="0.2">
      <c r="A34" s="3" t="s">
        <v>53</v>
      </c>
      <c r="B34" s="11">
        <v>0.27</v>
      </c>
      <c r="C34" s="2" t="s">
        <v>54</v>
      </c>
    </row>
    <row r="35" spans="1:6" x14ac:dyDescent="0.2">
      <c r="A35" s="3" t="s">
        <v>55</v>
      </c>
      <c r="B35" s="11">
        <v>0.01</v>
      </c>
      <c r="C35" s="2" t="s">
        <v>56</v>
      </c>
    </row>
    <row r="36" spans="1:6" x14ac:dyDescent="0.2">
      <c r="A36" s="3" t="s">
        <v>57</v>
      </c>
      <c r="B36" s="11">
        <v>0.01</v>
      </c>
    </row>
    <row r="37" spans="1:6" x14ac:dyDescent="0.2">
      <c r="A37" s="3" t="s">
        <v>58</v>
      </c>
      <c r="B37" s="11">
        <v>0.01</v>
      </c>
    </row>
    <row r="39" spans="1:6" x14ac:dyDescent="0.2">
      <c r="A39" s="7" t="s">
        <v>59</v>
      </c>
      <c r="B39" s="8"/>
      <c r="C39" s="8"/>
      <c r="D39" s="8"/>
      <c r="E39" s="8"/>
      <c r="F39" s="8"/>
    </row>
    <row r="40" spans="1:6" x14ac:dyDescent="0.2">
      <c r="A40" s="3" t="s">
        <v>60</v>
      </c>
      <c r="B40" s="10">
        <v>60000</v>
      </c>
      <c r="C40" s="2" t="s">
        <v>61</v>
      </c>
    </row>
    <row r="41" spans="1:6" x14ac:dyDescent="0.2">
      <c r="A41" s="3" t="s">
        <v>62</v>
      </c>
      <c r="B41" s="10">
        <v>6000</v>
      </c>
    </row>
    <row r="42" spans="1:6" x14ac:dyDescent="0.2">
      <c r="A42" s="3" t="s">
        <v>63</v>
      </c>
      <c r="B42" s="10">
        <v>2000</v>
      </c>
    </row>
    <row r="43" spans="1:6" x14ac:dyDescent="0.2">
      <c r="A43" s="3" t="s">
        <v>64</v>
      </c>
      <c r="B43" s="10">
        <v>18000</v>
      </c>
    </row>
    <row r="44" spans="1:6" x14ac:dyDescent="0.2">
      <c r="A44" s="3" t="s">
        <v>65</v>
      </c>
      <c r="B44" s="10">
        <v>2500</v>
      </c>
    </row>
    <row r="45" spans="1:6" x14ac:dyDescent="0.2">
      <c r="A45" s="3" t="s">
        <v>66</v>
      </c>
      <c r="B45" s="10">
        <v>3000</v>
      </c>
    </row>
    <row r="46" spans="1:6" x14ac:dyDescent="0.2">
      <c r="A46" s="3" t="s">
        <v>67</v>
      </c>
      <c r="B46" s="10">
        <v>3000</v>
      </c>
    </row>
    <row r="47" spans="1:6" x14ac:dyDescent="0.2">
      <c r="A47" s="3" t="s">
        <v>68</v>
      </c>
      <c r="B47" s="10">
        <v>2000</v>
      </c>
    </row>
    <row r="48" spans="1:6" x14ac:dyDescent="0.2">
      <c r="A48" s="3" t="s">
        <v>69</v>
      </c>
      <c r="B48" s="10">
        <v>7200</v>
      </c>
    </row>
    <row r="49" spans="1:6" x14ac:dyDescent="0.2">
      <c r="A49" s="3" t="s">
        <v>70</v>
      </c>
      <c r="B49" s="11">
        <v>0.01</v>
      </c>
    </row>
    <row r="50" spans="1:6" x14ac:dyDescent="0.2">
      <c r="A50" s="3" t="s">
        <v>71</v>
      </c>
      <c r="B50" s="11">
        <v>0.02</v>
      </c>
      <c r="C50" s="2" t="s">
        <v>72</v>
      </c>
    </row>
    <row r="52" spans="1:6" x14ac:dyDescent="0.2">
      <c r="A52" s="7" t="s">
        <v>73</v>
      </c>
      <c r="B52" s="8"/>
      <c r="C52" s="8"/>
      <c r="D52" s="8"/>
      <c r="E52" s="8"/>
      <c r="F52" s="8"/>
    </row>
    <row r="53" spans="1:6" x14ac:dyDescent="0.2">
      <c r="A53" s="9" t="s">
        <v>74</v>
      </c>
      <c r="B53" s="9" t="s">
        <v>75</v>
      </c>
      <c r="C53" s="9" t="s">
        <v>76</v>
      </c>
    </row>
    <row r="54" spans="1:6" x14ac:dyDescent="0.2">
      <c r="A54" s="5" t="s">
        <v>77</v>
      </c>
      <c r="B54" s="10">
        <v>3200</v>
      </c>
      <c r="C54" s="13">
        <v>1</v>
      </c>
    </row>
    <row r="55" spans="1:6" x14ac:dyDescent="0.2">
      <c r="A55" s="5" t="s">
        <v>78</v>
      </c>
      <c r="B55" s="10">
        <v>3800</v>
      </c>
      <c r="C55" s="13">
        <v>1</v>
      </c>
    </row>
    <row r="56" spans="1:6" x14ac:dyDescent="0.2">
      <c r="A56" s="5" t="s">
        <v>79</v>
      </c>
      <c r="B56" s="10">
        <v>2800</v>
      </c>
      <c r="C56" s="13">
        <v>1</v>
      </c>
    </row>
    <row r="57" spans="1:6" x14ac:dyDescent="0.2">
      <c r="A57" s="5" t="s">
        <v>80</v>
      </c>
      <c r="B57" s="10">
        <v>2200</v>
      </c>
      <c r="C57" s="13">
        <v>2</v>
      </c>
    </row>
    <row r="58" spans="1:6" x14ac:dyDescent="0.2">
      <c r="A58" s="5" t="s">
        <v>81</v>
      </c>
      <c r="B58" s="10">
        <v>2400</v>
      </c>
      <c r="C58" s="13">
        <v>2</v>
      </c>
    </row>
    <row r="59" spans="1:6" x14ac:dyDescent="0.2">
      <c r="A59" s="5" t="s">
        <v>82</v>
      </c>
      <c r="B59" s="10">
        <v>1900</v>
      </c>
      <c r="C59" s="13">
        <v>1</v>
      </c>
    </row>
    <row r="60" spans="1:6" x14ac:dyDescent="0.2">
      <c r="A60" s="4" t="s">
        <v>247</v>
      </c>
      <c r="B60" s="17">
        <f>SUMPRODUCT(B54:B59,C54:C59)</f>
        <v>20900</v>
      </c>
      <c r="C60" s="18">
        <f>SUM(C54:C59)</f>
        <v>8</v>
      </c>
    </row>
    <row r="61" spans="1:6" x14ac:dyDescent="0.2">
      <c r="A61" s="3" t="s">
        <v>83</v>
      </c>
      <c r="B61" s="11">
        <v>0.42</v>
      </c>
    </row>
    <row r="62" spans="1:6" x14ac:dyDescent="0.2">
      <c r="A62" s="3" t="s">
        <v>84</v>
      </c>
      <c r="B62" s="11">
        <v>0.02</v>
      </c>
    </row>
    <row r="64" spans="1:6" x14ac:dyDescent="0.2">
      <c r="A64" s="7" t="s">
        <v>85</v>
      </c>
      <c r="B64" s="8"/>
      <c r="C64" s="8"/>
      <c r="D64" s="8"/>
      <c r="E64" s="8"/>
      <c r="F64" s="8"/>
    </row>
    <row r="65" spans="1:6" x14ac:dyDescent="0.2">
      <c r="A65" s="3" t="s">
        <v>86</v>
      </c>
      <c r="B65" s="11">
        <v>1.2E-2</v>
      </c>
      <c r="C65" s="2" t="s">
        <v>87</v>
      </c>
    </row>
    <row r="66" spans="1:6" x14ac:dyDescent="0.2">
      <c r="A66" s="3" t="s">
        <v>88</v>
      </c>
      <c r="B66" s="11">
        <v>0.25</v>
      </c>
    </row>
    <row r="68" spans="1:6" x14ac:dyDescent="0.2">
      <c r="A68" s="7" t="s">
        <v>89</v>
      </c>
      <c r="B68" s="8"/>
      <c r="C68" s="8"/>
      <c r="D68" s="8"/>
      <c r="E68" s="8"/>
      <c r="F68" s="8"/>
    </row>
    <row r="69" spans="1:6" x14ac:dyDescent="0.2">
      <c r="A69" s="3" t="s">
        <v>90</v>
      </c>
      <c r="B69" s="13">
        <v>40</v>
      </c>
    </row>
    <row r="70" spans="1:6" x14ac:dyDescent="0.2">
      <c r="A70" s="3" t="s">
        <v>91</v>
      </c>
      <c r="B70" s="13">
        <v>90</v>
      </c>
    </row>
    <row r="71" spans="1:6" x14ac:dyDescent="0.2">
      <c r="A71" s="3" t="s">
        <v>92</v>
      </c>
      <c r="B71" s="13">
        <v>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"/>
  <sheetViews>
    <sheetView zoomScaleNormal="100" workbookViewId="0"/>
  </sheetViews>
  <sheetFormatPr baseColWidth="10" defaultColWidth="8.6640625" defaultRowHeight="15" x14ac:dyDescent="0.2"/>
  <cols>
    <col min="1" max="1" width="38" customWidth="1"/>
    <col min="2" max="14" width="11" customWidth="1"/>
  </cols>
  <sheetData>
    <row r="1" spans="1:14" ht="18" x14ac:dyDescent="0.2">
      <c r="A1" s="1" t="s">
        <v>248</v>
      </c>
    </row>
    <row r="3" spans="1:14" x14ac:dyDescent="0.2">
      <c r="A3" s="7" t="s">
        <v>93</v>
      </c>
      <c r="B3" s="8"/>
      <c r="C3" s="8"/>
      <c r="D3" s="8"/>
      <c r="E3" s="8"/>
      <c r="F3" s="8"/>
    </row>
    <row r="4" spans="1:14" x14ac:dyDescent="0.2">
      <c r="B4" s="9" t="s">
        <v>13</v>
      </c>
      <c r="C4" s="9" t="s">
        <v>14</v>
      </c>
      <c r="D4" s="9" t="s">
        <v>15</v>
      </c>
      <c r="E4" s="9" t="s">
        <v>94</v>
      </c>
    </row>
    <row r="5" spans="1:14" x14ac:dyDescent="0.2">
      <c r="A5" s="3" t="s">
        <v>18</v>
      </c>
      <c r="B5" s="19">
        <f>Assumptions!B7</f>
        <v>21.621621621621621</v>
      </c>
      <c r="C5" s="19">
        <f>Assumptions!C7</f>
        <v>36.84210526315789</v>
      </c>
      <c r="D5" s="19">
        <f>Assumptions!D7</f>
        <v>23.636363636363633</v>
      </c>
    </row>
    <row r="6" spans="1:14" x14ac:dyDescent="0.2">
      <c r="A6" s="3" t="s">
        <v>95</v>
      </c>
      <c r="B6" s="20">
        <f>Assumptions!B8</f>
        <v>40</v>
      </c>
      <c r="C6" s="20">
        <f>Assumptions!C8</f>
        <v>60</v>
      </c>
      <c r="D6" s="20">
        <f>Assumptions!D8</f>
        <v>12</v>
      </c>
    </row>
    <row r="7" spans="1:14" x14ac:dyDescent="0.2">
      <c r="A7" s="3" t="s">
        <v>96</v>
      </c>
      <c r="B7" s="21">
        <f>B5*B6</f>
        <v>864.86486486486478</v>
      </c>
      <c r="C7" s="21">
        <f>C5*C6</f>
        <v>2210.5263157894733</v>
      </c>
      <c r="D7" s="21">
        <f>D5*D6</f>
        <v>283.63636363636363</v>
      </c>
      <c r="E7" s="22">
        <f>SUM(B7:D7)</f>
        <v>3359.0275442907018</v>
      </c>
    </row>
    <row r="9" spans="1:14" x14ac:dyDescent="0.2">
      <c r="A9" s="7" t="s">
        <v>249</v>
      </c>
      <c r="B9" s="8"/>
      <c r="C9" s="8"/>
      <c r="D9" s="8"/>
      <c r="E9" s="8"/>
      <c r="F9" s="8"/>
    </row>
    <row r="10" spans="1:14" x14ac:dyDescent="0.2">
      <c r="A10" s="3" t="s">
        <v>97</v>
      </c>
      <c r="B10" s="23">
        <f>Assumptions!B19</f>
        <v>6</v>
      </c>
      <c r="C10" s="23">
        <f>Assumptions!C19</f>
        <v>6.8</v>
      </c>
      <c r="D10" s="23">
        <f>Assumptions!D19</f>
        <v>5.6</v>
      </c>
    </row>
    <row r="11" spans="1:14" x14ac:dyDescent="0.2">
      <c r="A11" s="3" t="s">
        <v>98</v>
      </c>
      <c r="B11" s="21">
        <f>B7*B10</f>
        <v>5189.1891891891883</v>
      </c>
      <c r="C11" s="21">
        <f>C7*C10</f>
        <v>15031.578947368418</v>
      </c>
      <c r="D11" s="21">
        <f>D7*D10</f>
        <v>1588.3636363636363</v>
      </c>
      <c r="E11" s="21">
        <f>SUM(B11:D11)</f>
        <v>21809.131772921242</v>
      </c>
    </row>
    <row r="12" spans="1:14" x14ac:dyDescent="0.2">
      <c r="A12" s="3" t="s">
        <v>99</v>
      </c>
      <c r="B12" s="21">
        <f>B11*Assumptions!$B$22</f>
        <v>22469.189189189186</v>
      </c>
      <c r="C12" s="21">
        <f>C11*Assumptions!$B$22</f>
        <v>65086.736842105252</v>
      </c>
      <c r="D12" s="21">
        <f>D11*Assumptions!$B$22</f>
        <v>6877.6145454545449</v>
      </c>
      <c r="E12" s="21">
        <f>SUM(B12:D12)</f>
        <v>94433.540576748986</v>
      </c>
    </row>
    <row r="13" spans="1:14" x14ac:dyDescent="0.2">
      <c r="A13" s="4" t="s">
        <v>100</v>
      </c>
      <c r="B13" s="17">
        <f>B12*Assumptions!$B$23</f>
        <v>235926.48648648645</v>
      </c>
      <c r="C13" s="17">
        <f>C12*Assumptions!$B$23</f>
        <v>683410.73684210517</v>
      </c>
      <c r="D13" s="17">
        <f>D12*Assumptions!$B$23</f>
        <v>72214.952727272728</v>
      </c>
      <c r="E13" s="17">
        <f>SUM(B13:D13)</f>
        <v>991552.17605586431</v>
      </c>
    </row>
    <row r="15" spans="1:14" x14ac:dyDescent="0.2">
      <c r="A15" s="7" t="s">
        <v>250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x14ac:dyDescent="0.2">
      <c r="B16" s="9" t="s">
        <v>34</v>
      </c>
      <c r="C16" s="9" t="s">
        <v>35</v>
      </c>
      <c r="D16" s="9" t="s">
        <v>36</v>
      </c>
      <c r="E16" s="9" t="s">
        <v>37</v>
      </c>
      <c r="F16" s="9" t="s">
        <v>38</v>
      </c>
      <c r="G16" s="9" t="s">
        <v>39</v>
      </c>
      <c r="H16" s="9" t="s">
        <v>40</v>
      </c>
      <c r="I16" s="9" t="s">
        <v>41</v>
      </c>
      <c r="J16" s="9" t="s">
        <v>42</v>
      </c>
      <c r="K16" s="9" t="s">
        <v>43</v>
      </c>
      <c r="L16" s="9" t="s">
        <v>44</v>
      </c>
      <c r="M16" s="9" t="s">
        <v>45</v>
      </c>
      <c r="N16" s="9" t="s">
        <v>94</v>
      </c>
    </row>
    <row r="17" spans="1:14" x14ac:dyDescent="0.2">
      <c r="A17" s="3" t="s">
        <v>46</v>
      </c>
      <c r="B17" s="24">
        <f>Assumptions!B27</f>
        <v>-0.5</v>
      </c>
      <c r="C17" s="24">
        <f>Assumptions!C27</f>
        <v>-0.4</v>
      </c>
      <c r="D17" s="24">
        <f>Assumptions!D27</f>
        <v>-0.35</v>
      </c>
      <c r="E17" s="24">
        <f>Assumptions!E27</f>
        <v>-0.3</v>
      </c>
      <c r="F17" s="24">
        <f>Assumptions!F27</f>
        <v>-0.25</v>
      </c>
      <c r="G17" s="24">
        <f>Assumptions!G27</f>
        <v>-0.2</v>
      </c>
      <c r="H17" s="24">
        <f>Assumptions!H27</f>
        <v>-0.15</v>
      </c>
      <c r="I17" s="24">
        <f>Assumptions!I27</f>
        <v>-0.1</v>
      </c>
      <c r="J17" s="24">
        <f>Assumptions!J27</f>
        <v>-0.1</v>
      </c>
      <c r="K17" s="24">
        <f>Assumptions!K27</f>
        <v>-0.05</v>
      </c>
      <c r="L17" s="24">
        <f>Assumptions!L27</f>
        <v>-0.05</v>
      </c>
      <c r="M17" s="24">
        <f>Assumptions!M27</f>
        <v>0</v>
      </c>
    </row>
    <row r="18" spans="1:14" x14ac:dyDescent="0.2">
      <c r="A18" s="3" t="s">
        <v>13</v>
      </c>
      <c r="B18" s="21">
        <f t="shared" ref="B18:M18" si="0">$B$12*(1+B$17)</f>
        <v>11234.594594594593</v>
      </c>
      <c r="C18" s="21">
        <f t="shared" si="0"/>
        <v>13481.513513513511</v>
      </c>
      <c r="D18" s="21">
        <f t="shared" si="0"/>
        <v>14604.972972972972</v>
      </c>
      <c r="E18" s="21">
        <f t="shared" si="0"/>
        <v>15728.43243243243</v>
      </c>
      <c r="F18" s="21">
        <f t="shared" si="0"/>
        <v>16851.89189189189</v>
      </c>
      <c r="G18" s="21">
        <f t="shared" si="0"/>
        <v>17975.35135135135</v>
      </c>
      <c r="H18" s="21">
        <f t="shared" si="0"/>
        <v>19098.810810810806</v>
      </c>
      <c r="I18" s="21">
        <f t="shared" si="0"/>
        <v>20222.27027027027</v>
      </c>
      <c r="J18" s="21">
        <f t="shared" si="0"/>
        <v>20222.27027027027</v>
      </c>
      <c r="K18" s="21">
        <f t="shared" si="0"/>
        <v>21345.729729729726</v>
      </c>
      <c r="L18" s="21">
        <f t="shared" si="0"/>
        <v>21345.729729729726</v>
      </c>
      <c r="M18" s="21">
        <f t="shared" si="0"/>
        <v>22469.189189189186</v>
      </c>
      <c r="N18" s="21">
        <f>SUM(B18:M18)</f>
        <v>214580.75675675675</v>
      </c>
    </row>
    <row r="19" spans="1:14" x14ac:dyDescent="0.2">
      <c r="A19" s="3" t="s">
        <v>14</v>
      </c>
      <c r="B19" s="21">
        <f t="shared" ref="B19:M19" si="1">$C$12*(1+B$17)</f>
        <v>32543.368421052626</v>
      </c>
      <c r="C19" s="21">
        <f t="shared" si="1"/>
        <v>39052.04210526315</v>
      </c>
      <c r="D19" s="21">
        <f t="shared" si="1"/>
        <v>42306.378947368416</v>
      </c>
      <c r="E19" s="21">
        <f t="shared" si="1"/>
        <v>45560.715789473674</v>
      </c>
      <c r="F19" s="21">
        <f t="shared" si="1"/>
        <v>48815.052631578939</v>
      </c>
      <c r="G19" s="21">
        <f t="shared" si="1"/>
        <v>52069.389473684205</v>
      </c>
      <c r="H19" s="21">
        <f t="shared" si="1"/>
        <v>55323.726315789463</v>
      </c>
      <c r="I19" s="21">
        <f t="shared" si="1"/>
        <v>58578.063157894729</v>
      </c>
      <c r="J19" s="21">
        <f t="shared" si="1"/>
        <v>58578.063157894729</v>
      </c>
      <c r="K19" s="21">
        <f t="shared" si="1"/>
        <v>61832.399999999987</v>
      </c>
      <c r="L19" s="21">
        <f t="shared" si="1"/>
        <v>61832.399999999987</v>
      </c>
      <c r="M19" s="21">
        <f t="shared" si="1"/>
        <v>65086.736842105252</v>
      </c>
      <c r="N19" s="21">
        <f>SUM(B19:M19)</f>
        <v>621578.33684210514</v>
      </c>
    </row>
    <row r="20" spans="1:14" x14ac:dyDescent="0.2">
      <c r="A20" s="3" t="s">
        <v>15</v>
      </c>
      <c r="B20" s="21">
        <f t="shared" ref="B20:M20" si="2">$D$12*(1+B$17)</f>
        <v>3438.8072727272724</v>
      </c>
      <c r="C20" s="21">
        <f t="shared" si="2"/>
        <v>4126.5687272727264</v>
      </c>
      <c r="D20" s="21">
        <f t="shared" si="2"/>
        <v>4470.4494545454545</v>
      </c>
      <c r="E20" s="21">
        <f t="shared" si="2"/>
        <v>4814.3301818181808</v>
      </c>
      <c r="F20" s="21">
        <f t="shared" si="2"/>
        <v>5158.2109090909089</v>
      </c>
      <c r="G20" s="21">
        <f t="shared" si="2"/>
        <v>5502.0916363636361</v>
      </c>
      <c r="H20" s="21">
        <f t="shared" si="2"/>
        <v>5845.9723636363633</v>
      </c>
      <c r="I20" s="21">
        <f t="shared" si="2"/>
        <v>6189.8530909090905</v>
      </c>
      <c r="J20" s="21">
        <f t="shared" si="2"/>
        <v>6189.8530909090905</v>
      </c>
      <c r="K20" s="21">
        <f t="shared" si="2"/>
        <v>6533.7338181818177</v>
      </c>
      <c r="L20" s="21">
        <f t="shared" si="2"/>
        <v>6533.7338181818177</v>
      </c>
      <c r="M20" s="21">
        <f t="shared" si="2"/>
        <v>6877.6145454545449</v>
      </c>
      <c r="N20" s="21">
        <f>SUM(B20:M20)</f>
        <v>65681.218909090909</v>
      </c>
    </row>
    <row r="21" spans="1:14" x14ac:dyDescent="0.2">
      <c r="A21" s="4" t="s">
        <v>101</v>
      </c>
      <c r="B21" s="17">
        <f t="shared" ref="B21:M21" si="3">SUM(B18:B20)</f>
        <v>47216.770288374493</v>
      </c>
      <c r="C21" s="17">
        <f t="shared" si="3"/>
        <v>56660.124346049386</v>
      </c>
      <c r="D21" s="17">
        <f t="shared" si="3"/>
        <v>61381.80137488684</v>
      </c>
      <c r="E21" s="17">
        <f t="shared" si="3"/>
        <v>66103.478403724279</v>
      </c>
      <c r="F21" s="17">
        <f t="shared" si="3"/>
        <v>70825.155432561733</v>
      </c>
      <c r="G21" s="17">
        <f t="shared" si="3"/>
        <v>75546.832461399186</v>
      </c>
      <c r="H21" s="17">
        <f t="shared" si="3"/>
        <v>80268.50949023664</v>
      </c>
      <c r="I21" s="17">
        <f t="shared" si="3"/>
        <v>84990.186519074094</v>
      </c>
      <c r="J21" s="17">
        <f t="shared" si="3"/>
        <v>84990.186519074094</v>
      </c>
      <c r="K21" s="17">
        <f t="shared" si="3"/>
        <v>89711.863547911533</v>
      </c>
      <c r="L21" s="17">
        <f t="shared" si="3"/>
        <v>89711.863547911533</v>
      </c>
      <c r="M21" s="17">
        <f t="shared" si="3"/>
        <v>94433.540576748986</v>
      </c>
      <c r="N21" s="17">
        <f>SUM(B21:M21)</f>
        <v>901840.3125079528</v>
      </c>
    </row>
    <row r="23" spans="1:14" x14ac:dyDescent="0.2">
      <c r="A23" s="4" t="s">
        <v>102</v>
      </c>
      <c r="B23" s="25">
        <f>N21*(Assumptions!$B$23/12)</f>
        <v>789110.27344445873</v>
      </c>
      <c r="D23" s="2" t="s">
        <v>251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6"/>
  <sheetViews>
    <sheetView zoomScaleNormal="100" workbookViewId="0"/>
  </sheetViews>
  <sheetFormatPr baseColWidth="10" defaultColWidth="8.6640625" defaultRowHeight="15" x14ac:dyDescent="0.2"/>
  <cols>
    <col min="1" max="1" width="40" customWidth="1"/>
    <col min="2" max="3" width="13" customWidth="1"/>
    <col min="4" max="4" width="15" customWidth="1"/>
    <col min="5" max="5" width="55" customWidth="1"/>
  </cols>
  <sheetData>
    <row r="1" spans="1:5" ht="18" x14ac:dyDescent="0.2">
      <c r="A1" s="1" t="s">
        <v>103</v>
      </c>
    </row>
    <row r="3" spans="1:5" x14ac:dyDescent="0.2">
      <c r="A3" s="7" t="s">
        <v>252</v>
      </c>
      <c r="B3" s="8"/>
      <c r="C3" s="8"/>
      <c r="D3" s="8"/>
      <c r="E3" s="8"/>
    </row>
    <row r="4" spans="1:5" x14ac:dyDescent="0.2">
      <c r="A4" s="9" t="s">
        <v>104</v>
      </c>
      <c r="B4" s="9" t="s">
        <v>105</v>
      </c>
      <c r="C4" s="9" t="s">
        <v>106</v>
      </c>
      <c r="D4" s="9" t="s">
        <v>107</v>
      </c>
    </row>
    <row r="5" spans="1:5" x14ac:dyDescent="0.2">
      <c r="A5" s="5" t="s">
        <v>108</v>
      </c>
      <c r="B5" s="10">
        <v>120000</v>
      </c>
      <c r="C5" s="13">
        <v>8</v>
      </c>
      <c r="D5" s="21">
        <f>B5/C5</f>
        <v>15000</v>
      </c>
      <c r="E5" s="2" t="s">
        <v>109</v>
      </c>
    </row>
    <row r="6" spans="1:5" x14ac:dyDescent="0.2">
      <c r="A6" s="5" t="s">
        <v>110</v>
      </c>
      <c r="B6" s="10">
        <v>60000</v>
      </c>
      <c r="C6" s="13">
        <v>5</v>
      </c>
      <c r="D6" s="21">
        <f>B6/C6</f>
        <v>12000</v>
      </c>
      <c r="E6" s="2" t="s">
        <v>111</v>
      </c>
    </row>
    <row r="7" spans="1:5" x14ac:dyDescent="0.2">
      <c r="A7" s="5" t="s">
        <v>112</v>
      </c>
      <c r="B7" s="10">
        <v>30000</v>
      </c>
      <c r="C7" s="13">
        <v>5</v>
      </c>
      <c r="D7" s="21">
        <f>B7/C7</f>
        <v>6000</v>
      </c>
    </row>
    <row r="8" spans="1:5" x14ac:dyDescent="0.2">
      <c r="A8" s="5" t="s">
        <v>113</v>
      </c>
      <c r="B8" s="10">
        <v>10000</v>
      </c>
      <c r="C8" s="13">
        <v>5</v>
      </c>
      <c r="D8" s="21">
        <f>B8/C8</f>
        <v>2000</v>
      </c>
    </row>
    <row r="9" spans="1:5" x14ac:dyDescent="0.2">
      <c r="A9" s="4" t="s">
        <v>114</v>
      </c>
      <c r="B9" s="17">
        <f>SUM(B5:B8)</f>
        <v>220000</v>
      </c>
      <c r="D9" s="17">
        <f>SUM(D5:D8)</f>
        <v>35000</v>
      </c>
    </row>
    <row r="11" spans="1:5" x14ac:dyDescent="0.2">
      <c r="A11" s="7" t="s">
        <v>115</v>
      </c>
      <c r="B11" s="8"/>
      <c r="C11" s="8"/>
      <c r="D11" s="8"/>
      <c r="E11" s="8"/>
    </row>
    <row r="12" spans="1:5" x14ac:dyDescent="0.2">
      <c r="A12" s="5" t="s">
        <v>116</v>
      </c>
      <c r="B12" s="10">
        <v>150000</v>
      </c>
      <c r="E12" s="2" t="s">
        <v>253</v>
      </c>
    </row>
    <row r="13" spans="1:5" x14ac:dyDescent="0.2">
      <c r="A13" s="5" t="s">
        <v>117</v>
      </c>
      <c r="B13" s="10">
        <v>15000</v>
      </c>
    </row>
    <row r="14" spans="1:5" x14ac:dyDescent="0.2">
      <c r="A14" s="4" t="s">
        <v>118</v>
      </c>
      <c r="B14" s="17">
        <f>SUM(B12:B13)</f>
        <v>165000</v>
      </c>
    </row>
    <row r="16" spans="1:5" x14ac:dyDescent="0.2">
      <c r="A16" s="7" t="s">
        <v>119</v>
      </c>
      <c r="B16" s="8"/>
      <c r="C16" s="8"/>
      <c r="D16" s="8"/>
      <c r="E16" s="8"/>
    </row>
    <row r="17" spans="1:5" x14ac:dyDescent="0.2">
      <c r="A17" s="5" t="s">
        <v>120</v>
      </c>
      <c r="B17" s="10">
        <v>12000</v>
      </c>
    </row>
    <row r="18" spans="1:5" x14ac:dyDescent="0.2">
      <c r="A18" s="5" t="s">
        <v>121</v>
      </c>
      <c r="B18" s="10">
        <v>7000</v>
      </c>
    </row>
    <row r="19" spans="1:5" x14ac:dyDescent="0.2">
      <c r="A19" s="5" t="s">
        <v>122</v>
      </c>
      <c r="B19" s="10">
        <v>15000</v>
      </c>
    </row>
    <row r="20" spans="1:5" x14ac:dyDescent="0.2">
      <c r="A20" s="4" t="s">
        <v>118</v>
      </c>
      <c r="B20" s="17">
        <f>SUM(B17:B19)</f>
        <v>34000</v>
      </c>
    </row>
    <row r="22" spans="1:5" x14ac:dyDescent="0.2">
      <c r="A22" s="7" t="s">
        <v>123</v>
      </c>
      <c r="B22" s="8"/>
      <c r="C22" s="8"/>
      <c r="D22" s="8"/>
      <c r="E22" s="8"/>
    </row>
    <row r="23" spans="1:5" x14ac:dyDescent="0.2">
      <c r="A23" s="5" t="s">
        <v>124</v>
      </c>
      <c r="B23" s="10">
        <v>10000</v>
      </c>
    </row>
    <row r="24" spans="1:5" x14ac:dyDescent="0.2">
      <c r="A24" s="5" t="s">
        <v>125</v>
      </c>
      <c r="B24" s="10">
        <v>15000</v>
      </c>
    </row>
    <row r="25" spans="1:5" x14ac:dyDescent="0.2">
      <c r="A25" s="5" t="s">
        <v>126</v>
      </c>
      <c r="B25" s="10">
        <v>8000</v>
      </c>
    </row>
    <row r="26" spans="1:5" x14ac:dyDescent="0.2">
      <c r="A26" s="4" t="s">
        <v>118</v>
      </c>
      <c r="B26" s="17">
        <f>SUM(B23:B25)</f>
        <v>33000</v>
      </c>
    </row>
    <row r="28" spans="1:5" x14ac:dyDescent="0.2">
      <c r="A28" s="7" t="s">
        <v>127</v>
      </c>
      <c r="B28" s="8"/>
      <c r="C28" s="8"/>
      <c r="D28" s="8"/>
      <c r="E28" s="8"/>
    </row>
    <row r="29" spans="1:5" x14ac:dyDescent="0.2">
      <c r="A29" s="3" t="s">
        <v>128</v>
      </c>
      <c r="B29" s="13">
        <v>15</v>
      </c>
    </row>
    <row r="30" spans="1:5" x14ac:dyDescent="0.2">
      <c r="A30" s="3" t="s">
        <v>129</v>
      </c>
      <c r="B30" s="13">
        <v>2</v>
      </c>
      <c r="E30" s="2" t="s">
        <v>254</v>
      </c>
    </row>
    <row r="31" spans="1:5" x14ac:dyDescent="0.2">
      <c r="A31" s="3" t="s">
        <v>130</v>
      </c>
      <c r="B31" s="13">
        <v>20</v>
      </c>
    </row>
    <row r="32" spans="1:5" x14ac:dyDescent="0.2">
      <c r="A32" s="3" t="s">
        <v>131</v>
      </c>
      <c r="B32" s="26">
        <f>Revenue!$E$13*Assumptions!$B$34/365*B29+Revenue!$E$13/365*B30-Revenue!$E$13*Assumptions!$B$34/365*B31</f>
        <v>1765.7778477707161</v>
      </c>
      <c r="E32" s="2" t="s">
        <v>132</v>
      </c>
    </row>
    <row r="33" spans="1:5" x14ac:dyDescent="0.2">
      <c r="A33" s="3" t="s">
        <v>133</v>
      </c>
      <c r="B33" s="13">
        <v>4</v>
      </c>
      <c r="E33" s="2" t="s">
        <v>134</v>
      </c>
    </row>
    <row r="34" spans="1:5" x14ac:dyDescent="0.2">
      <c r="A34" s="3" t="s">
        <v>135</v>
      </c>
      <c r="B34" s="26">
        <f>B33*(Assumptions!$B$60*(1+Assumptions!$B$61)+(Assumptions!$B$40+SUM(Assumptions!$B$41:$B$48))/12)</f>
        <v>153278.66666666666</v>
      </c>
    </row>
    <row r="35" spans="1:5" x14ac:dyDescent="0.2">
      <c r="A35" s="4" t="s">
        <v>118</v>
      </c>
      <c r="B35" s="17">
        <f>MAX(0,B32)+B34</f>
        <v>155044.44451443737</v>
      </c>
    </row>
    <row r="37" spans="1:5" x14ac:dyDescent="0.2">
      <c r="A37" s="4" t="s">
        <v>136</v>
      </c>
      <c r="B37" s="25">
        <f>B9+B14+B20+B26+B35</f>
        <v>607044.44451443735</v>
      </c>
    </row>
    <row r="39" spans="1:5" x14ac:dyDescent="0.2">
      <c r="A39" s="7" t="s">
        <v>137</v>
      </c>
      <c r="B39" s="8"/>
      <c r="C39" s="8"/>
      <c r="D39" s="8"/>
      <c r="E39" s="8"/>
    </row>
    <row r="40" spans="1:5" x14ac:dyDescent="0.2">
      <c r="A40" s="5" t="s">
        <v>138</v>
      </c>
      <c r="B40" s="10">
        <v>120000</v>
      </c>
      <c r="E40" s="2" t="s">
        <v>139</v>
      </c>
    </row>
    <row r="41" spans="1:5" x14ac:dyDescent="0.2">
      <c r="A41" s="5" t="s">
        <v>140</v>
      </c>
      <c r="B41" s="10">
        <v>40000</v>
      </c>
    </row>
    <row r="42" spans="1:5" x14ac:dyDescent="0.2">
      <c r="A42" s="5" t="s">
        <v>141</v>
      </c>
      <c r="B42" s="10">
        <v>150000</v>
      </c>
      <c r="E42" s="2" t="s">
        <v>255</v>
      </c>
    </row>
    <row r="43" spans="1:5" x14ac:dyDescent="0.2">
      <c r="A43" s="3" t="s">
        <v>142</v>
      </c>
      <c r="B43" s="26">
        <f>Loan!$B$4</f>
        <v>280000</v>
      </c>
      <c r="E43" s="2" t="s">
        <v>143</v>
      </c>
    </row>
    <row r="44" spans="1:5" x14ac:dyDescent="0.2">
      <c r="A44" s="5" t="s">
        <v>144</v>
      </c>
      <c r="B44" s="10">
        <v>20000</v>
      </c>
      <c r="E44" s="2" t="s">
        <v>145</v>
      </c>
    </row>
    <row r="45" spans="1:5" x14ac:dyDescent="0.2">
      <c r="A45" s="4" t="s">
        <v>146</v>
      </c>
      <c r="B45" s="25">
        <f>SUM(B40:B44)</f>
        <v>610000</v>
      </c>
    </row>
    <row r="46" spans="1:5" x14ac:dyDescent="0.2">
      <c r="A46" s="4" t="s">
        <v>147</v>
      </c>
      <c r="B46" s="22">
        <f>B45-B37</f>
        <v>2955.5554855626542</v>
      </c>
      <c r="E46" s="2" t="s">
        <v>148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2"/>
  <sheetViews>
    <sheetView zoomScaleNormal="100" workbookViewId="0"/>
  </sheetViews>
  <sheetFormatPr baseColWidth="10" defaultColWidth="8.6640625" defaultRowHeight="15" x14ac:dyDescent="0.2"/>
  <cols>
    <col min="1" max="1" width="34" customWidth="1"/>
    <col min="2" max="7" width="14" customWidth="1"/>
  </cols>
  <sheetData>
    <row r="1" spans="1:3" ht="18" x14ac:dyDescent="0.2">
      <c r="A1" s="1" t="s">
        <v>149</v>
      </c>
    </row>
    <row r="3" spans="1:3" x14ac:dyDescent="0.2">
      <c r="A3" s="7" t="s">
        <v>150</v>
      </c>
      <c r="B3" s="8"/>
      <c r="C3" s="8"/>
    </row>
    <row r="4" spans="1:3" x14ac:dyDescent="0.2">
      <c r="A4" s="3" t="s">
        <v>151</v>
      </c>
      <c r="B4" s="10">
        <v>280000</v>
      </c>
    </row>
    <row r="5" spans="1:3" x14ac:dyDescent="0.2">
      <c r="A5" s="3" t="s">
        <v>152</v>
      </c>
      <c r="B5" s="11">
        <v>4.4999999999999998E-2</v>
      </c>
    </row>
    <row r="6" spans="1:3" x14ac:dyDescent="0.2">
      <c r="A6" s="3" t="s">
        <v>153</v>
      </c>
      <c r="B6" s="13">
        <v>7</v>
      </c>
    </row>
    <row r="7" spans="1:3" x14ac:dyDescent="0.2">
      <c r="A7" s="3" t="s">
        <v>154</v>
      </c>
      <c r="B7" s="13">
        <v>12</v>
      </c>
    </row>
    <row r="8" spans="1:3" x14ac:dyDescent="0.2">
      <c r="A8" s="3" t="s">
        <v>155</v>
      </c>
      <c r="B8" s="13">
        <v>6</v>
      </c>
      <c r="C8" s="2" t="s">
        <v>156</v>
      </c>
    </row>
    <row r="10" spans="1:3" x14ac:dyDescent="0.2">
      <c r="A10" s="7" t="s">
        <v>157</v>
      </c>
      <c r="B10" s="8"/>
      <c r="C10" s="8"/>
    </row>
    <row r="11" spans="1:3" x14ac:dyDescent="0.2">
      <c r="A11" s="3" t="s">
        <v>158</v>
      </c>
      <c r="B11" s="27">
        <f>B5/B7</f>
        <v>3.7499999999999999E-3</v>
      </c>
    </row>
    <row r="12" spans="1:3" x14ac:dyDescent="0.2">
      <c r="A12" s="3" t="s">
        <v>159</v>
      </c>
      <c r="B12" s="28">
        <f>B6*B7</f>
        <v>84</v>
      </c>
    </row>
    <row r="13" spans="1:3" x14ac:dyDescent="0.2">
      <c r="A13" s="3" t="s">
        <v>160</v>
      </c>
      <c r="B13" s="12">
        <f>B4*B11</f>
        <v>1050</v>
      </c>
    </row>
    <row r="14" spans="1:3" x14ac:dyDescent="0.2">
      <c r="A14" s="3" t="s">
        <v>161</v>
      </c>
      <c r="B14" s="12">
        <f>B4*B11/(1-(1+B11)^-(B12-B8))</f>
        <v>4146.9798242613151</v>
      </c>
    </row>
    <row r="15" spans="1:3" x14ac:dyDescent="0.2">
      <c r="A15" s="3" t="s">
        <v>162</v>
      </c>
      <c r="B15" s="21">
        <f>SUM(D19:D102)</f>
        <v>49764.426292375902</v>
      </c>
    </row>
    <row r="17" spans="1:7" x14ac:dyDescent="0.2">
      <c r="A17" s="7" t="s">
        <v>163</v>
      </c>
      <c r="B17" s="8"/>
      <c r="C17" s="8"/>
      <c r="D17" s="8"/>
      <c r="E17" s="8"/>
      <c r="F17" s="8"/>
      <c r="G17" s="8"/>
    </row>
    <row r="18" spans="1:7" x14ac:dyDescent="0.2">
      <c r="A18" s="9" t="s">
        <v>164</v>
      </c>
      <c r="B18" s="9" t="s">
        <v>165</v>
      </c>
      <c r="C18" s="9" t="s">
        <v>166</v>
      </c>
      <c r="D18" s="9" t="s">
        <v>167</v>
      </c>
      <c r="E18" s="9" t="s">
        <v>151</v>
      </c>
      <c r="F18" s="9" t="s">
        <v>168</v>
      </c>
      <c r="G18" s="9" t="s">
        <v>169</v>
      </c>
    </row>
    <row r="19" spans="1:7" x14ac:dyDescent="0.2">
      <c r="A19" s="28">
        <v>1</v>
      </c>
      <c r="B19" s="21">
        <f>$B$4</f>
        <v>280000</v>
      </c>
      <c r="C19" s="21">
        <f t="shared" ref="C19:C50" si="0">IF(A19&lt;=$B$8,$B$13,$B$14)</f>
        <v>1050</v>
      </c>
      <c r="D19" s="21">
        <f t="shared" ref="D19:D50" si="1">B19*$B$11</f>
        <v>1050</v>
      </c>
      <c r="E19" s="21">
        <f t="shared" ref="E19:E50" si="2">C19-D19</f>
        <v>0</v>
      </c>
      <c r="F19" s="21">
        <f t="shared" ref="F19:F50" si="3">B19-E19</f>
        <v>280000</v>
      </c>
      <c r="G19" s="28">
        <f t="shared" ref="G19:G50" si="4">INT((A19-1)/12)+1</f>
        <v>1</v>
      </c>
    </row>
    <row r="20" spans="1:7" x14ac:dyDescent="0.2">
      <c r="A20" s="28">
        <v>2</v>
      </c>
      <c r="B20" s="21">
        <f t="shared" ref="B20:B51" si="5">F19</f>
        <v>280000</v>
      </c>
      <c r="C20" s="21">
        <f t="shared" si="0"/>
        <v>1050</v>
      </c>
      <c r="D20" s="21">
        <f t="shared" si="1"/>
        <v>1050</v>
      </c>
      <c r="E20" s="21">
        <f t="shared" si="2"/>
        <v>0</v>
      </c>
      <c r="F20" s="21">
        <f t="shared" si="3"/>
        <v>280000</v>
      </c>
      <c r="G20" s="28">
        <f t="shared" si="4"/>
        <v>1</v>
      </c>
    </row>
    <row r="21" spans="1:7" x14ac:dyDescent="0.2">
      <c r="A21" s="28">
        <v>3</v>
      </c>
      <c r="B21" s="21">
        <f t="shared" si="5"/>
        <v>280000</v>
      </c>
      <c r="C21" s="21">
        <f t="shared" si="0"/>
        <v>1050</v>
      </c>
      <c r="D21" s="21">
        <f t="shared" si="1"/>
        <v>1050</v>
      </c>
      <c r="E21" s="21">
        <f t="shared" si="2"/>
        <v>0</v>
      </c>
      <c r="F21" s="21">
        <f t="shared" si="3"/>
        <v>280000</v>
      </c>
      <c r="G21" s="28">
        <f t="shared" si="4"/>
        <v>1</v>
      </c>
    </row>
    <row r="22" spans="1:7" x14ac:dyDescent="0.2">
      <c r="A22" s="28">
        <v>4</v>
      </c>
      <c r="B22" s="21">
        <f t="shared" si="5"/>
        <v>280000</v>
      </c>
      <c r="C22" s="21">
        <f t="shared" si="0"/>
        <v>1050</v>
      </c>
      <c r="D22" s="21">
        <f t="shared" si="1"/>
        <v>1050</v>
      </c>
      <c r="E22" s="21">
        <f t="shared" si="2"/>
        <v>0</v>
      </c>
      <c r="F22" s="21">
        <f t="shared" si="3"/>
        <v>280000</v>
      </c>
      <c r="G22" s="28">
        <f t="shared" si="4"/>
        <v>1</v>
      </c>
    </row>
    <row r="23" spans="1:7" x14ac:dyDescent="0.2">
      <c r="A23" s="28">
        <v>5</v>
      </c>
      <c r="B23" s="21">
        <f t="shared" si="5"/>
        <v>280000</v>
      </c>
      <c r="C23" s="21">
        <f t="shared" si="0"/>
        <v>1050</v>
      </c>
      <c r="D23" s="21">
        <f t="shared" si="1"/>
        <v>1050</v>
      </c>
      <c r="E23" s="21">
        <f t="shared" si="2"/>
        <v>0</v>
      </c>
      <c r="F23" s="21">
        <f t="shared" si="3"/>
        <v>280000</v>
      </c>
      <c r="G23" s="28">
        <f t="shared" si="4"/>
        <v>1</v>
      </c>
    </row>
    <row r="24" spans="1:7" x14ac:dyDescent="0.2">
      <c r="A24" s="28">
        <v>6</v>
      </c>
      <c r="B24" s="21">
        <f t="shared" si="5"/>
        <v>280000</v>
      </c>
      <c r="C24" s="21">
        <f t="shared" si="0"/>
        <v>1050</v>
      </c>
      <c r="D24" s="21">
        <f t="shared" si="1"/>
        <v>1050</v>
      </c>
      <c r="E24" s="21">
        <f t="shared" si="2"/>
        <v>0</v>
      </c>
      <c r="F24" s="21">
        <f t="shared" si="3"/>
        <v>280000</v>
      </c>
      <c r="G24" s="28">
        <f t="shared" si="4"/>
        <v>1</v>
      </c>
    </row>
    <row r="25" spans="1:7" x14ac:dyDescent="0.2">
      <c r="A25" s="28">
        <v>7</v>
      </c>
      <c r="B25" s="21">
        <f t="shared" si="5"/>
        <v>280000</v>
      </c>
      <c r="C25" s="21">
        <f t="shared" si="0"/>
        <v>4146.9798242613151</v>
      </c>
      <c r="D25" s="21">
        <f t="shared" si="1"/>
        <v>1050</v>
      </c>
      <c r="E25" s="21">
        <f t="shared" si="2"/>
        <v>3096.9798242613151</v>
      </c>
      <c r="F25" s="21">
        <f t="shared" si="3"/>
        <v>276903.02017573867</v>
      </c>
      <c r="G25" s="28">
        <f t="shared" si="4"/>
        <v>1</v>
      </c>
    </row>
    <row r="26" spans="1:7" x14ac:dyDescent="0.2">
      <c r="A26" s="28">
        <v>8</v>
      </c>
      <c r="B26" s="21">
        <f t="shared" si="5"/>
        <v>276903.02017573867</v>
      </c>
      <c r="C26" s="21">
        <f t="shared" si="0"/>
        <v>4146.9798242613151</v>
      </c>
      <c r="D26" s="21">
        <f t="shared" si="1"/>
        <v>1038.38632565902</v>
      </c>
      <c r="E26" s="21">
        <f t="shared" si="2"/>
        <v>3108.5934986022949</v>
      </c>
      <c r="F26" s="21">
        <f t="shared" si="3"/>
        <v>273794.42667713639</v>
      </c>
      <c r="G26" s="28">
        <f t="shared" si="4"/>
        <v>1</v>
      </c>
    </row>
    <row r="27" spans="1:7" x14ac:dyDescent="0.2">
      <c r="A27" s="28">
        <v>9</v>
      </c>
      <c r="B27" s="21">
        <f t="shared" si="5"/>
        <v>273794.42667713639</v>
      </c>
      <c r="C27" s="21">
        <f t="shared" si="0"/>
        <v>4146.9798242613151</v>
      </c>
      <c r="D27" s="21">
        <f t="shared" si="1"/>
        <v>1026.7291000392615</v>
      </c>
      <c r="E27" s="21">
        <f t="shared" si="2"/>
        <v>3120.2507242220536</v>
      </c>
      <c r="F27" s="21">
        <f t="shared" si="3"/>
        <v>270674.17595291435</v>
      </c>
      <c r="G27" s="28">
        <f t="shared" si="4"/>
        <v>1</v>
      </c>
    </row>
    <row r="28" spans="1:7" x14ac:dyDescent="0.2">
      <c r="A28" s="28">
        <v>10</v>
      </c>
      <c r="B28" s="21">
        <f t="shared" si="5"/>
        <v>270674.17595291435</v>
      </c>
      <c r="C28" s="21">
        <f t="shared" si="0"/>
        <v>4146.9798242613151</v>
      </c>
      <c r="D28" s="21">
        <f t="shared" si="1"/>
        <v>1015.0281598234287</v>
      </c>
      <c r="E28" s="21">
        <f t="shared" si="2"/>
        <v>3131.9516644378864</v>
      </c>
      <c r="F28" s="21">
        <f t="shared" si="3"/>
        <v>267542.22428847646</v>
      </c>
      <c r="G28" s="28">
        <f t="shared" si="4"/>
        <v>1</v>
      </c>
    </row>
    <row r="29" spans="1:7" x14ac:dyDescent="0.2">
      <c r="A29" s="28">
        <v>11</v>
      </c>
      <c r="B29" s="21">
        <f t="shared" si="5"/>
        <v>267542.22428847646</v>
      </c>
      <c r="C29" s="21">
        <f t="shared" si="0"/>
        <v>4146.9798242613151</v>
      </c>
      <c r="D29" s="21">
        <f t="shared" si="1"/>
        <v>1003.2833410817867</v>
      </c>
      <c r="E29" s="21">
        <f t="shared" si="2"/>
        <v>3143.6964831795285</v>
      </c>
      <c r="F29" s="21">
        <f t="shared" si="3"/>
        <v>264398.52780529694</v>
      </c>
      <c r="G29" s="28">
        <f t="shared" si="4"/>
        <v>1</v>
      </c>
    </row>
    <row r="30" spans="1:7" x14ac:dyDescent="0.2">
      <c r="A30" s="28">
        <v>12</v>
      </c>
      <c r="B30" s="21">
        <f t="shared" si="5"/>
        <v>264398.52780529694</v>
      </c>
      <c r="C30" s="21">
        <f t="shared" si="0"/>
        <v>4146.9798242613151</v>
      </c>
      <c r="D30" s="21">
        <f t="shared" si="1"/>
        <v>991.49447926986352</v>
      </c>
      <c r="E30" s="21">
        <f t="shared" si="2"/>
        <v>3155.4853449914517</v>
      </c>
      <c r="F30" s="21">
        <f t="shared" si="3"/>
        <v>261243.0424603055</v>
      </c>
      <c r="G30" s="28">
        <f t="shared" si="4"/>
        <v>1</v>
      </c>
    </row>
    <row r="31" spans="1:7" x14ac:dyDescent="0.2">
      <c r="A31" s="28">
        <v>13</v>
      </c>
      <c r="B31" s="21">
        <f t="shared" si="5"/>
        <v>261243.0424603055</v>
      </c>
      <c r="C31" s="21">
        <f t="shared" si="0"/>
        <v>4146.9798242613151</v>
      </c>
      <c r="D31" s="21">
        <f t="shared" si="1"/>
        <v>979.66140922614557</v>
      </c>
      <c r="E31" s="21">
        <f t="shared" si="2"/>
        <v>3167.3184150351694</v>
      </c>
      <c r="F31" s="21">
        <f t="shared" si="3"/>
        <v>258075.72404527033</v>
      </c>
      <c r="G31" s="28">
        <f t="shared" si="4"/>
        <v>2</v>
      </c>
    </row>
    <row r="32" spans="1:7" x14ac:dyDescent="0.2">
      <c r="A32" s="28">
        <v>14</v>
      </c>
      <c r="B32" s="21">
        <f t="shared" si="5"/>
        <v>258075.72404527033</v>
      </c>
      <c r="C32" s="21">
        <f t="shared" si="0"/>
        <v>4146.9798242613151</v>
      </c>
      <c r="D32" s="21">
        <f t="shared" si="1"/>
        <v>967.78396516976363</v>
      </c>
      <c r="E32" s="21">
        <f t="shared" si="2"/>
        <v>3179.1958590915515</v>
      </c>
      <c r="F32" s="21">
        <f t="shared" si="3"/>
        <v>254896.52818617877</v>
      </c>
      <c r="G32" s="28">
        <f t="shared" si="4"/>
        <v>2</v>
      </c>
    </row>
    <row r="33" spans="1:7" x14ac:dyDescent="0.2">
      <c r="A33" s="28">
        <v>15</v>
      </c>
      <c r="B33" s="21">
        <f t="shared" si="5"/>
        <v>254896.52818617877</v>
      </c>
      <c r="C33" s="21">
        <f t="shared" si="0"/>
        <v>4146.9798242613151</v>
      </c>
      <c r="D33" s="21">
        <f t="shared" si="1"/>
        <v>955.86198069817033</v>
      </c>
      <c r="E33" s="21">
        <f t="shared" si="2"/>
        <v>3191.1178435631446</v>
      </c>
      <c r="F33" s="21">
        <f t="shared" si="3"/>
        <v>251705.41034261562</v>
      </c>
      <c r="G33" s="28">
        <f t="shared" si="4"/>
        <v>2</v>
      </c>
    </row>
    <row r="34" spans="1:7" x14ac:dyDescent="0.2">
      <c r="A34" s="28">
        <v>16</v>
      </c>
      <c r="B34" s="21">
        <f t="shared" si="5"/>
        <v>251705.41034261562</v>
      </c>
      <c r="C34" s="21">
        <f t="shared" si="0"/>
        <v>4146.9798242613151</v>
      </c>
      <c r="D34" s="21">
        <f t="shared" si="1"/>
        <v>943.8952887848086</v>
      </c>
      <c r="E34" s="21">
        <f t="shared" si="2"/>
        <v>3203.0845354765065</v>
      </c>
      <c r="F34" s="21">
        <f t="shared" si="3"/>
        <v>248502.3258071391</v>
      </c>
      <c r="G34" s="28">
        <f t="shared" si="4"/>
        <v>2</v>
      </c>
    </row>
    <row r="35" spans="1:7" x14ac:dyDescent="0.2">
      <c r="A35" s="28">
        <v>17</v>
      </c>
      <c r="B35" s="21">
        <f t="shared" si="5"/>
        <v>248502.3258071391</v>
      </c>
      <c r="C35" s="21">
        <f t="shared" si="0"/>
        <v>4146.9798242613151</v>
      </c>
      <c r="D35" s="21">
        <f t="shared" si="1"/>
        <v>931.88372177677161</v>
      </c>
      <c r="E35" s="21">
        <f t="shared" si="2"/>
        <v>3215.0961024845437</v>
      </c>
      <c r="F35" s="21">
        <f t="shared" si="3"/>
        <v>245287.22970465457</v>
      </c>
      <c r="G35" s="28">
        <f t="shared" si="4"/>
        <v>2</v>
      </c>
    </row>
    <row r="36" spans="1:7" x14ac:dyDescent="0.2">
      <c r="A36" s="28">
        <v>18</v>
      </c>
      <c r="B36" s="21">
        <f t="shared" si="5"/>
        <v>245287.22970465457</v>
      </c>
      <c r="C36" s="21">
        <f t="shared" si="0"/>
        <v>4146.9798242613151</v>
      </c>
      <c r="D36" s="21">
        <f t="shared" si="1"/>
        <v>919.82711139245464</v>
      </c>
      <c r="E36" s="21">
        <f t="shared" si="2"/>
        <v>3227.1527128688604</v>
      </c>
      <c r="F36" s="21">
        <f t="shared" si="3"/>
        <v>242060.07699178573</v>
      </c>
      <c r="G36" s="28">
        <f t="shared" si="4"/>
        <v>2</v>
      </c>
    </row>
    <row r="37" spans="1:7" x14ac:dyDescent="0.2">
      <c r="A37" s="28">
        <v>19</v>
      </c>
      <c r="B37" s="21">
        <f t="shared" si="5"/>
        <v>242060.07699178573</v>
      </c>
      <c r="C37" s="21">
        <f t="shared" si="0"/>
        <v>4146.9798242613151</v>
      </c>
      <c r="D37" s="21">
        <f t="shared" si="1"/>
        <v>907.72528871919644</v>
      </c>
      <c r="E37" s="21">
        <f t="shared" si="2"/>
        <v>3239.2545355421189</v>
      </c>
      <c r="F37" s="21">
        <f t="shared" si="3"/>
        <v>238820.82245624359</v>
      </c>
      <c r="G37" s="28">
        <f t="shared" si="4"/>
        <v>2</v>
      </c>
    </row>
    <row r="38" spans="1:7" x14ac:dyDescent="0.2">
      <c r="A38" s="28">
        <v>20</v>
      </c>
      <c r="B38" s="21">
        <f t="shared" si="5"/>
        <v>238820.82245624359</v>
      </c>
      <c r="C38" s="21">
        <f t="shared" si="0"/>
        <v>4146.9798242613151</v>
      </c>
      <c r="D38" s="21">
        <f t="shared" si="1"/>
        <v>895.5780842109134</v>
      </c>
      <c r="E38" s="21">
        <f t="shared" si="2"/>
        <v>3251.4017400504017</v>
      </c>
      <c r="F38" s="21">
        <f t="shared" si="3"/>
        <v>235569.42071619318</v>
      </c>
      <c r="G38" s="28">
        <f t="shared" si="4"/>
        <v>2</v>
      </c>
    </row>
    <row r="39" spans="1:7" x14ac:dyDescent="0.2">
      <c r="A39" s="28">
        <v>21</v>
      </c>
      <c r="B39" s="21">
        <f t="shared" si="5"/>
        <v>235569.42071619318</v>
      </c>
      <c r="C39" s="21">
        <f t="shared" si="0"/>
        <v>4146.9798242613151</v>
      </c>
      <c r="D39" s="21">
        <f t="shared" si="1"/>
        <v>883.38532768572441</v>
      </c>
      <c r="E39" s="21">
        <f t="shared" si="2"/>
        <v>3263.5944965755907</v>
      </c>
      <c r="F39" s="21">
        <f t="shared" si="3"/>
        <v>232305.82621961759</v>
      </c>
      <c r="G39" s="28">
        <f t="shared" si="4"/>
        <v>2</v>
      </c>
    </row>
    <row r="40" spans="1:7" x14ac:dyDescent="0.2">
      <c r="A40" s="28">
        <v>22</v>
      </c>
      <c r="B40" s="21">
        <f t="shared" si="5"/>
        <v>232305.82621961759</v>
      </c>
      <c r="C40" s="21">
        <f t="shared" si="0"/>
        <v>4146.9798242613151</v>
      </c>
      <c r="D40" s="21">
        <f t="shared" si="1"/>
        <v>871.14684832356591</v>
      </c>
      <c r="E40" s="21">
        <f t="shared" si="2"/>
        <v>3275.8329759377493</v>
      </c>
      <c r="F40" s="21">
        <f t="shared" si="3"/>
        <v>229029.99324367984</v>
      </c>
      <c r="G40" s="28">
        <f t="shared" si="4"/>
        <v>2</v>
      </c>
    </row>
    <row r="41" spans="1:7" x14ac:dyDescent="0.2">
      <c r="A41" s="28">
        <v>23</v>
      </c>
      <c r="B41" s="21">
        <f t="shared" si="5"/>
        <v>229029.99324367984</v>
      </c>
      <c r="C41" s="21">
        <f t="shared" si="0"/>
        <v>4146.9798242613151</v>
      </c>
      <c r="D41" s="21">
        <f t="shared" si="1"/>
        <v>858.86247466379939</v>
      </c>
      <c r="E41" s="21">
        <f t="shared" si="2"/>
        <v>3288.1173495975158</v>
      </c>
      <c r="F41" s="21">
        <f t="shared" si="3"/>
        <v>225741.87589408233</v>
      </c>
      <c r="G41" s="28">
        <f t="shared" si="4"/>
        <v>2</v>
      </c>
    </row>
    <row r="42" spans="1:7" x14ac:dyDescent="0.2">
      <c r="A42" s="28">
        <v>24</v>
      </c>
      <c r="B42" s="21">
        <f t="shared" si="5"/>
        <v>225741.87589408233</v>
      </c>
      <c r="C42" s="21">
        <f t="shared" si="0"/>
        <v>4146.9798242613151</v>
      </c>
      <c r="D42" s="21">
        <f t="shared" si="1"/>
        <v>846.53203460280872</v>
      </c>
      <c r="E42" s="21">
        <f t="shared" si="2"/>
        <v>3300.4477896585063</v>
      </c>
      <c r="F42" s="21">
        <f t="shared" si="3"/>
        <v>222441.42810442383</v>
      </c>
      <c r="G42" s="28">
        <f t="shared" si="4"/>
        <v>2</v>
      </c>
    </row>
    <row r="43" spans="1:7" x14ac:dyDescent="0.2">
      <c r="A43" s="28">
        <v>25</v>
      </c>
      <c r="B43" s="21">
        <f t="shared" si="5"/>
        <v>222441.42810442383</v>
      </c>
      <c r="C43" s="21">
        <f t="shared" si="0"/>
        <v>4146.9798242613151</v>
      </c>
      <c r="D43" s="21">
        <f t="shared" si="1"/>
        <v>834.1553553915893</v>
      </c>
      <c r="E43" s="21">
        <f t="shared" si="2"/>
        <v>3312.8244688697259</v>
      </c>
      <c r="F43" s="21">
        <f t="shared" si="3"/>
        <v>219128.60363555411</v>
      </c>
      <c r="G43" s="28">
        <f t="shared" si="4"/>
        <v>3</v>
      </c>
    </row>
    <row r="44" spans="1:7" x14ac:dyDescent="0.2">
      <c r="A44" s="28">
        <v>26</v>
      </c>
      <c r="B44" s="21">
        <f t="shared" si="5"/>
        <v>219128.60363555411</v>
      </c>
      <c r="C44" s="21">
        <f t="shared" si="0"/>
        <v>4146.9798242613151</v>
      </c>
      <c r="D44" s="21">
        <f t="shared" si="1"/>
        <v>821.73226363332788</v>
      </c>
      <c r="E44" s="21">
        <f t="shared" si="2"/>
        <v>3325.2475606279872</v>
      </c>
      <c r="F44" s="21">
        <f t="shared" si="3"/>
        <v>215803.35607492612</v>
      </c>
      <c r="G44" s="28">
        <f t="shared" si="4"/>
        <v>3</v>
      </c>
    </row>
    <row r="45" spans="1:7" x14ac:dyDescent="0.2">
      <c r="A45" s="28">
        <v>27</v>
      </c>
      <c r="B45" s="21">
        <f t="shared" si="5"/>
        <v>215803.35607492612</v>
      </c>
      <c r="C45" s="21">
        <f t="shared" si="0"/>
        <v>4146.9798242613151</v>
      </c>
      <c r="D45" s="21">
        <f t="shared" si="1"/>
        <v>809.26258528097298</v>
      </c>
      <c r="E45" s="21">
        <f t="shared" si="2"/>
        <v>3337.7172389803422</v>
      </c>
      <c r="F45" s="21">
        <f t="shared" si="3"/>
        <v>212465.63883594578</v>
      </c>
      <c r="G45" s="28">
        <f t="shared" si="4"/>
        <v>3</v>
      </c>
    </row>
    <row r="46" spans="1:7" x14ac:dyDescent="0.2">
      <c r="A46" s="28">
        <v>28</v>
      </c>
      <c r="B46" s="21">
        <f t="shared" si="5"/>
        <v>212465.63883594578</v>
      </c>
      <c r="C46" s="21">
        <f t="shared" si="0"/>
        <v>4146.9798242613151</v>
      </c>
      <c r="D46" s="21">
        <f t="shared" si="1"/>
        <v>796.74614563479668</v>
      </c>
      <c r="E46" s="21">
        <f t="shared" si="2"/>
        <v>3350.2336786265187</v>
      </c>
      <c r="F46" s="21">
        <f t="shared" si="3"/>
        <v>209115.40515731927</v>
      </c>
      <c r="G46" s="28">
        <f t="shared" si="4"/>
        <v>3</v>
      </c>
    </row>
    <row r="47" spans="1:7" x14ac:dyDescent="0.2">
      <c r="A47" s="28">
        <v>29</v>
      </c>
      <c r="B47" s="21">
        <f t="shared" si="5"/>
        <v>209115.40515731927</v>
      </c>
      <c r="C47" s="21">
        <f t="shared" si="0"/>
        <v>4146.9798242613151</v>
      </c>
      <c r="D47" s="21">
        <f t="shared" si="1"/>
        <v>784.18276933994719</v>
      </c>
      <c r="E47" s="21">
        <f t="shared" si="2"/>
        <v>3362.7970549213678</v>
      </c>
      <c r="F47" s="21">
        <f t="shared" si="3"/>
        <v>205752.60810239791</v>
      </c>
      <c r="G47" s="28">
        <f t="shared" si="4"/>
        <v>3</v>
      </c>
    </row>
    <row r="48" spans="1:7" x14ac:dyDescent="0.2">
      <c r="A48" s="28">
        <v>30</v>
      </c>
      <c r="B48" s="21">
        <f t="shared" si="5"/>
        <v>205752.60810239791</v>
      </c>
      <c r="C48" s="21">
        <f t="shared" si="0"/>
        <v>4146.9798242613151</v>
      </c>
      <c r="D48" s="21">
        <f t="shared" si="1"/>
        <v>771.57228038399217</v>
      </c>
      <c r="E48" s="21">
        <f t="shared" si="2"/>
        <v>3375.407543877323</v>
      </c>
      <c r="F48" s="21">
        <f t="shared" si="3"/>
        <v>202377.20055852059</v>
      </c>
      <c r="G48" s="28">
        <f t="shared" si="4"/>
        <v>3</v>
      </c>
    </row>
    <row r="49" spans="1:7" x14ac:dyDescent="0.2">
      <c r="A49" s="28">
        <v>31</v>
      </c>
      <c r="B49" s="21">
        <f t="shared" si="5"/>
        <v>202377.20055852059</v>
      </c>
      <c r="C49" s="21">
        <f t="shared" si="0"/>
        <v>4146.9798242613151</v>
      </c>
      <c r="D49" s="21">
        <f t="shared" si="1"/>
        <v>758.91450209445225</v>
      </c>
      <c r="E49" s="21">
        <f t="shared" si="2"/>
        <v>3388.0653221668626</v>
      </c>
      <c r="F49" s="21">
        <f t="shared" si="3"/>
        <v>198989.13523635373</v>
      </c>
      <c r="G49" s="28">
        <f t="shared" si="4"/>
        <v>3</v>
      </c>
    </row>
    <row r="50" spans="1:7" x14ac:dyDescent="0.2">
      <c r="A50" s="28">
        <v>32</v>
      </c>
      <c r="B50" s="21">
        <f t="shared" si="5"/>
        <v>198989.13523635373</v>
      </c>
      <c r="C50" s="21">
        <f t="shared" si="0"/>
        <v>4146.9798242613151</v>
      </c>
      <c r="D50" s="21">
        <f t="shared" si="1"/>
        <v>746.20925713632641</v>
      </c>
      <c r="E50" s="21">
        <f t="shared" si="2"/>
        <v>3400.7705671249887</v>
      </c>
      <c r="F50" s="21">
        <f t="shared" si="3"/>
        <v>195588.36466922873</v>
      </c>
      <c r="G50" s="28">
        <f t="shared" si="4"/>
        <v>3</v>
      </c>
    </row>
    <row r="51" spans="1:7" x14ac:dyDescent="0.2">
      <c r="A51" s="28">
        <v>33</v>
      </c>
      <c r="B51" s="21">
        <f t="shared" si="5"/>
        <v>195588.36466922873</v>
      </c>
      <c r="C51" s="21">
        <f t="shared" ref="C51:C82" si="6">IF(A51&lt;=$B$8,$B$13,$B$14)</f>
        <v>4146.9798242613151</v>
      </c>
      <c r="D51" s="21">
        <f t="shared" ref="D51:D82" si="7">B51*$B$11</f>
        <v>733.45636750960773</v>
      </c>
      <c r="E51" s="21">
        <f t="shared" ref="E51:E82" si="8">C51-D51</f>
        <v>3413.5234567517073</v>
      </c>
      <c r="F51" s="21">
        <f t="shared" ref="F51:F82" si="9">B51-E51</f>
        <v>192174.84121247701</v>
      </c>
      <c r="G51" s="28">
        <f t="shared" ref="G51:G82" si="10">INT((A51-1)/12)+1</f>
        <v>3</v>
      </c>
    </row>
    <row r="52" spans="1:7" x14ac:dyDescent="0.2">
      <c r="A52" s="28">
        <v>34</v>
      </c>
      <c r="B52" s="21">
        <f t="shared" ref="B52:B83" si="11">F51</f>
        <v>192174.84121247701</v>
      </c>
      <c r="C52" s="21">
        <f t="shared" si="6"/>
        <v>4146.9798242613151</v>
      </c>
      <c r="D52" s="21">
        <f t="shared" si="7"/>
        <v>720.65565454678881</v>
      </c>
      <c r="E52" s="21">
        <f t="shared" si="8"/>
        <v>3426.3241697145263</v>
      </c>
      <c r="F52" s="21">
        <f t="shared" si="9"/>
        <v>188748.51704276248</v>
      </c>
      <c r="G52" s="28">
        <f t="shared" si="10"/>
        <v>3</v>
      </c>
    </row>
    <row r="53" spans="1:7" x14ac:dyDescent="0.2">
      <c r="A53" s="28">
        <v>35</v>
      </c>
      <c r="B53" s="21">
        <f t="shared" si="11"/>
        <v>188748.51704276248</v>
      </c>
      <c r="C53" s="21">
        <f t="shared" si="6"/>
        <v>4146.9798242613151</v>
      </c>
      <c r="D53" s="21">
        <f t="shared" si="7"/>
        <v>707.80693891035924</v>
      </c>
      <c r="E53" s="21">
        <f t="shared" si="8"/>
        <v>3439.1728853509558</v>
      </c>
      <c r="F53" s="21">
        <f t="shared" si="9"/>
        <v>185309.34415741154</v>
      </c>
      <c r="G53" s="28">
        <f t="shared" si="10"/>
        <v>3</v>
      </c>
    </row>
    <row r="54" spans="1:7" x14ac:dyDescent="0.2">
      <c r="A54" s="28">
        <v>36</v>
      </c>
      <c r="B54" s="21">
        <f t="shared" si="11"/>
        <v>185309.34415741154</v>
      </c>
      <c r="C54" s="21">
        <f t="shared" si="6"/>
        <v>4146.9798242613151</v>
      </c>
      <c r="D54" s="21">
        <f t="shared" si="7"/>
        <v>694.91004059029331</v>
      </c>
      <c r="E54" s="21">
        <f t="shared" si="8"/>
        <v>3452.0697836710219</v>
      </c>
      <c r="F54" s="21">
        <f t="shared" si="9"/>
        <v>181857.27437374051</v>
      </c>
      <c r="G54" s="28">
        <f t="shared" si="10"/>
        <v>3</v>
      </c>
    </row>
    <row r="55" spans="1:7" x14ac:dyDescent="0.2">
      <c r="A55" s="28">
        <v>37</v>
      </c>
      <c r="B55" s="21">
        <f t="shared" si="11"/>
        <v>181857.27437374051</v>
      </c>
      <c r="C55" s="21">
        <f t="shared" si="6"/>
        <v>4146.9798242613151</v>
      </c>
      <c r="D55" s="21">
        <f t="shared" si="7"/>
        <v>681.96477890152687</v>
      </c>
      <c r="E55" s="21">
        <f t="shared" si="8"/>
        <v>3465.015045359788</v>
      </c>
      <c r="F55" s="21">
        <f t="shared" si="9"/>
        <v>178392.25932838072</v>
      </c>
      <c r="G55" s="28">
        <f t="shared" si="10"/>
        <v>4</v>
      </c>
    </row>
    <row r="56" spans="1:7" x14ac:dyDescent="0.2">
      <c r="A56" s="28">
        <v>38</v>
      </c>
      <c r="B56" s="21">
        <f t="shared" si="11"/>
        <v>178392.25932838072</v>
      </c>
      <c r="C56" s="21">
        <f t="shared" si="6"/>
        <v>4146.9798242613151</v>
      </c>
      <c r="D56" s="21">
        <f t="shared" si="7"/>
        <v>668.97097248142768</v>
      </c>
      <c r="E56" s="21">
        <f t="shared" si="8"/>
        <v>3478.0088517798877</v>
      </c>
      <c r="F56" s="21">
        <f t="shared" si="9"/>
        <v>174914.25047660084</v>
      </c>
      <c r="G56" s="28">
        <f t="shared" si="10"/>
        <v>4</v>
      </c>
    </row>
    <row r="57" spans="1:7" x14ac:dyDescent="0.2">
      <c r="A57" s="28">
        <v>39</v>
      </c>
      <c r="B57" s="21">
        <f t="shared" si="11"/>
        <v>174914.25047660084</v>
      </c>
      <c r="C57" s="21">
        <f t="shared" si="6"/>
        <v>4146.9798242613151</v>
      </c>
      <c r="D57" s="21">
        <f t="shared" si="7"/>
        <v>655.92843928725313</v>
      </c>
      <c r="E57" s="21">
        <f t="shared" si="8"/>
        <v>3491.0513849740619</v>
      </c>
      <c r="F57" s="21">
        <f t="shared" si="9"/>
        <v>171423.19909162677</v>
      </c>
      <c r="G57" s="28">
        <f t="shared" si="10"/>
        <v>4</v>
      </c>
    </row>
    <row r="58" spans="1:7" x14ac:dyDescent="0.2">
      <c r="A58" s="28">
        <v>40</v>
      </c>
      <c r="B58" s="21">
        <f t="shared" si="11"/>
        <v>171423.19909162677</v>
      </c>
      <c r="C58" s="21">
        <f t="shared" si="6"/>
        <v>4146.9798242613151</v>
      </c>
      <c r="D58" s="21">
        <f t="shared" si="7"/>
        <v>642.83699659360036</v>
      </c>
      <c r="E58" s="21">
        <f t="shared" si="8"/>
        <v>3504.1428276677148</v>
      </c>
      <c r="F58" s="21">
        <f t="shared" si="9"/>
        <v>167919.05626395906</v>
      </c>
      <c r="G58" s="28">
        <f t="shared" si="10"/>
        <v>4</v>
      </c>
    </row>
    <row r="59" spans="1:7" x14ac:dyDescent="0.2">
      <c r="A59" s="28">
        <v>41</v>
      </c>
      <c r="B59" s="21">
        <f t="shared" si="11"/>
        <v>167919.05626395906</v>
      </c>
      <c r="C59" s="21">
        <f t="shared" si="6"/>
        <v>4146.9798242613151</v>
      </c>
      <c r="D59" s="21">
        <f t="shared" si="7"/>
        <v>629.69646098984651</v>
      </c>
      <c r="E59" s="21">
        <f t="shared" si="8"/>
        <v>3517.2833632714687</v>
      </c>
      <c r="F59" s="21">
        <f t="shared" si="9"/>
        <v>164401.77290068759</v>
      </c>
      <c r="G59" s="28">
        <f t="shared" si="10"/>
        <v>4</v>
      </c>
    </row>
    <row r="60" spans="1:7" x14ac:dyDescent="0.2">
      <c r="A60" s="28">
        <v>42</v>
      </c>
      <c r="B60" s="21">
        <f t="shared" si="11"/>
        <v>164401.77290068759</v>
      </c>
      <c r="C60" s="21">
        <f t="shared" si="6"/>
        <v>4146.9798242613151</v>
      </c>
      <c r="D60" s="21">
        <f t="shared" si="7"/>
        <v>616.50664837757847</v>
      </c>
      <c r="E60" s="21">
        <f t="shared" si="8"/>
        <v>3530.4731758837365</v>
      </c>
      <c r="F60" s="21">
        <f t="shared" si="9"/>
        <v>160871.29972480386</v>
      </c>
      <c r="G60" s="28">
        <f t="shared" si="10"/>
        <v>4</v>
      </c>
    </row>
    <row r="61" spans="1:7" x14ac:dyDescent="0.2">
      <c r="A61" s="28">
        <v>43</v>
      </c>
      <c r="B61" s="21">
        <f t="shared" si="11"/>
        <v>160871.29972480386</v>
      </c>
      <c r="C61" s="21">
        <f t="shared" si="6"/>
        <v>4146.9798242613151</v>
      </c>
      <c r="D61" s="21">
        <f t="shared" si="7"/>
        <v>603.26737396801445</v>
      </c>
      <c r="E61" s="21">
        <f t="shared" si="8"/>
        <v>3543.7124502933007</v>
      </c>
      <c r="F61" s="21">
        <f t="shared" si="9"/>
        <v>157327.58727451056</v>
      </c>
      <c r="G61" s="28">
        <f t="shared" si="10"/>
        <v>4</v>
      </c>
    </row>
    <row r="62" spans="1:7" x14ac:dyDescent="0.2">
      <c r="A62" s="28">
        <v>44</v>
      </c>
      <c r="B62" s="21">
        <f t="shared" si="11"/>
        <v>157327.58727451056</v>
      </c>
      <c r="C62" s="21">
        <f t="shared" si="6"/>
        <v>4146.9798242613151</v>
      </c>
      <c r="D62" s="21">
        <f t="shared" si="7"/>
        <v>589.97845227941457</v>
      </c>
      <c r="E62" s="21">
        <f t="shared" si="8"/>
        <v>3557.0013719819008</v>
      </c>
      <c r="F62" s="21">
        <f t="shared" si="9"/>
        <v>153770.58590252866</v>
      </c>
      <c r="G62" s="28">
        <f t="shared" si="10"/>
        <v>4</v>
      </c>
    </row>
    <row r="63" spans="1:7" x14ac:dyDescent="0.2">
      <c r="A63" s="28">
        <v>45</v>
      </c>
      <c r="B63" s="21">
        <f t="shared" si="11"/>
        <v>153770.58590252866</v>
      </c>
      <c r="C63" s="21">
        <f t="shared" si="6"/>
        <v>4146.9798242613151</v>
      </c>
      <c r="D63" s="21">
        <f t="shared" si="7"/>
        <v>576.6396971344825</v>
      </c>
      <c r="E63" s="21">
        <f t="shared" si="8"/>
        <v>3570.3401271268326</v>
      </c>
      <c r="F63" s="21">
        <f t="shared" si="9"/>
        <v>150200.24577540183</v>
      </c>
      <c r="G63" s="28">
        <f t="shared" si="10"/>
        <v>4</v>
      </c>
    </row>
    <row r="64" spans="1:7" x14ac:dyDescent="0.2">
      <c r="A64" s="28">
        <v>46</v>
      </c>
      <c r="B64" s="21">
        <f t="shared" si="11"/>
        <v>150200.24577540183</v>
      </c>
      <c r="C64" s="21">
        <f t="shared" si="6"/>
        <v>4146.9798242613151</v>
      </c>
      <c r="D64" s="21">
        <f t="shared" si="7"/>
        <v>563.25092165775686</v>
      </c>
      <c r="E64" s="21">
        <f t="shared" si="8"/>
        <v>3583.7289026035583</v>
      </c>
      <c r="F64" s="21">
        <f t="shared" si="9"/>
        <v>146616.51687279827</v>
      </c>
      <c r="G64" s="28">
        <f t="shared" si="10"/>
        <v>4</v>
      </c>
    </row>
    <row r="65" spans="1:7" x14ac:dyDescent="0.2">
      <c r="A65" s="28">
        <v>47</v>
      </c>
      <c r="B65" s="21">
        <f t="shared" si="11"/>
        <v>146616.51687279827</v>
      </c>
      <c r="C65" s="21">
        <f t="shared" si="6"/>
        <v>4146.9798242613151</v>
      </c>
      <c r="D65" s="21">
        <f t="shared" si="7"/>
        <v>549.81193827299353</v>
      </c>
      <c r="E65" s="21">
        <f t="shared" si="8"/>
        <v>3597.1678859883214</v>
      </c>
      <c r="F65" s="21">
        <f t="shared" si="9"/>
        <v>143019.34898680996</v>
      </c>
      <c r="G65" s="28">
        <f t="shared" si="10"/>
        <v>4</v>
      </c>
    </row>
    <row r="66" spans="1:7" x14ac:dyDescent="0.2">
      <c r="A66" s="28">
        <v>48</v>
      </c>
      <c r="B66" s="21">
        <f t="shared" si="11"/>
        <v>143019.34898680996</v>
      </c>
      <c r="C66" s="21">
        <f t="shared" si="6"/>
        <v>4146.9798242613151</v>
      </c>
      <c r="D66" s="21">
        <f t="shared" si="7"/>
        <v>536.32255870053734</v>
      </c>
      <c r="E66" s="21">
        <f t="shared" si="8"/>
        <v>3610.6572655607779</v>
      </c>
      <c r="F66" s="21">
        <f t="shared" si="9"/>
        <v>139408.69172124917</v>
      </c>
      <c r="G66" s="28">
        <f t="shared" si="10"/>
        <v>4</v>
      </c>
    </row>
    <row r="67" spans="1:7" x14ac:dyDescent="0.2">
      <c r="A67" s="28">
        <v>49</v>
      </c>
      <c r="B67" s="21">
        <f t="shared" si="11"/>
        <v>139408.69172124917</v>
      </c>
      <c r="C67" s="21">
        <f t="shared" si="6"/>
        <v>4146.9798242613151</v>
      </c>
      <c r="D67" s="21">
        <f t="shared" si="7"/>
        <v>522.78259395468433</v>
      </c>
      <c r="E67" s="21">
        <f t="shared" si="8"/>
        <v>3624.1972303066309</v>
      </c>
      <c r="F67" s="21">
        <f t="shared" si="9"/>
        <v>135784.49449094254</v>
      </c>
      <c r="G67" s="28">
        <f t="shared" si="10"/>
        <v>5</v>
      </c>
    </row>
    <row r="68" spans="1:7" x14ac:dyDescent="0.2">
      <c r="A68" s="28">
        <v>50</v>
      </c>
      <c r="B68" s="21">
        <f t="shared" si="11"/>
        <v>135784.49449094254</v>
      </c>
      <c r="C68" s="21">
        <f t="shared" si="6"/>
        <v>4146.9798242613151</v>
      </c>
      <c r="D68" s="21">
        <f t="shared" si="7"/>
        <v>509.19185434103451</v>
      </c>
      <c r="E68" s="21">
        <f t="shared" si="8"/>
        <v>3637.7879699202804</v>
      </c>
      <c r="F68" s="21">
        <f t="shared" si="9"/>
        <v>132146.70652102225</v>
      </c>
      <c r="G68" s="28">
        <f t="shared" si="10"/>
        <v>5</v>
      </c>
    </row>
    <row r="69" spans="1:7" x14ac:dyDescent="0.2">
      <c r="A69" s="28">
        <v>51</v>
      </c>
      <c r="B69" s="21">
        <f t="shared" si="11"/>
        <v>132146.70652102225</v>
      </c>
      <c r="C69" s="21">
        <f t="shared" si="6"/>
        <v>4146.9798242613151</v>
      </c>
      <c r="D69" s="21">
        <f t="shared" si="7"/>
        <v>495.5501494538334</v>
      </c>
      <c r="E69" s="21">
        <f t="shared" si="8"/>
        <v>3651.4296748074817</v>
      </c>
      <c r="F69" s="21">
        <f t="shared" si="9"/>
        <v>128495.27684621477</v>
      </c>
      <c r="G69" s="28">
        <f t="shared" si="10"/>
        <v>5</v>
      </c>
    </row>
    <row r="70" spans="1:7" x14ac:dyDescent="0.2">
      <c r="A70" s="28">
        <v>52</v>
      </c>
      <c r="B70" s="21">
        <f t="shared" si="11"/>
        <v>128495.27684621477</v>
      </c>
      <c r="C70" s="21">
        <f t="shared" si="6"/>
        <v>4146.9798242613151</v>
      </c>
      <c r="D70" s="21">
        <f t="shared" si="7"/>
        <v>481.85728817330534</v>
      </c>
      <c r="E70" s="21">
        <f t="shared" si="8"/>
        <v>3665.1225360880098</v>
      </c>
      <c r="F70" s="21">
        <f t="shared" si="9"/>
        <v>124830.15431012676</v>
      </c>
      <c r="G70" s="28">
        <f t="shared" si="10"/>
        <v>5</v>
      </c>
    </row>
    <row r="71" spans="1:7" x14ac:dyDescent="0.2">
      <c r="A71" s="28">
        <v>53</v>
      </c>
      <c r="B71" s="21">
        <f t="shared" si="11"/>
        <v>124830.15431012676</v>
      </c>
      <c r="C71" s="21">
        <f t="shared" si="6"/>
        <v>4146.9798242613151</v>
      </c>
      <c r="D71" s="21">
        <f t="shared" si="7"/>
        <v>468.11307866297534</v>
      </c>
      <c r="E71" s="21">
        <f t="shared" si="8"/>
        <v>3678.8667455983395</v>
      </c>
      <c r="F71" s="21">
        <f t="shared" si="9"/>
        <v>121151.28756452842</v>
      </c>
      <c r="G71" s="28">
        <f t="shared" si="10"/>
        <v>5</v>
      </c>
    </row>
    <row r="72" spans="1:7" x14ac:dyDescent="0.2">
      <c r="A72" s="28">
        <v>54</v>
      </c>
      <c r="B72" s="21">
        <f t="shared" si="11"/>
        <v>121151.28756452842</v>
      </c>
      <c r="C72" s="21">
        <f t="shared" si="6"/>
        <v>4146.9798242613151</v>
      </c>
      <c r="D72" s="21">
        <f t="shared" si="7"/>
        <v>454.31732836698154</v>
      </c>
      <c r="E72" s="21">
        <f t="shared" si="8"/>
        <v>3692.6624958943335</v>
      </c>
      <c r="F72" s="21">
        <f t="shared" si="9"/>
        <v>117458.62506863409</v>
      </c>
      <c r="G72" s="28">
        <f t="shared" si="10"/>
        <v>5</v>
      </c>
    </row>
    <row r="73" spans="1:7" x14ac:dyDescent="0.2">
      <c r="A73" s="28">
        <v>55</v>
      </c>
      <c r="B73" s="21">
        <f t="shared" si="11"/>
        <v>117458.62506863409</v>
      </c>
      <c r="C73" s="21">
        <f t="shared" si="6"/>
        <v>4146.9798242613151</v>
      </c>
      <c r="D73" s="21">
        <f t="shared" si="7"/>
        <v>440.46984400737784</v>
      </c>
      <c r="E73" s="21">
        <f t="shared" si="8"/>
        <v>3706.5099802539371</v>
      </c>
      <c r="F73" s="21">
        <f t="shared" si="9"/>
        <v>113752.11508838016</v>
      </c>
      <c r="G73" s="28">
        <f t="shared" si="10"/>
        <v>5</v>
      </c>
    </row>
    <row r="74" spans="1:7" x14ac:dyDescent="0.2">
      <c r="A74" s="28">
        <v>56</v>
      </c>
      <c r="B74" s="21">
        <f t="shared" si="11"/>
        <v>113752.11508838016</v>
      </c>
      <c r="C74" s="21">
        <f t="shared" si="6"/>
        <v>4146.9798242613151</v>
      </c>
      <c r="D74" s="21">
        <f t="shared" si="7"/>
        <v>426.57043158142557</v>
      </c>
      <c r="E74" s="21">
        <f t="shared" si="8"/>
        <v>3720.4093926798896</v>
      </c>
      <c r="F74" s="21">
        <f t="shared" si="9"/>
        <v>110031.70569570026</v>
      </c>
      <c r="G74" s="28">
        <f t="shared" si="10"/>
        <v>5</v>
      </c>
    </row>
    <row r="75" spans="1:7" x14ac:dyDescent="0.2">
      <c r="A75" s="28">
        <v>57</v>
      </c>
      <c r="B75" s="21">
        <f t="shared" si="11"/>
        <v>110031.70569570026</v>
      </c>
      <c r="C75" s="21">
        <f t="shared" si="6"/>
        <v>4146.9798242613151</v>
      </c>
      <c r="D75" s="21">
        <f t="shared" si="7"/>
        <v>412.61889635887599</v>
      </c>
      <c r="E75" s="21">
        <f t="shared" si="8"/>
        <v>3734.360927902439</v>
      </c>
      <c r="F75" s="21">
        <f t="shared" si="9"/>
        <v>106297.34476779783</v>
      </c>
      <c r="G75" s="28">
        <f t="shared" si="10"/>
        <v>5</v>
      </c>
    </row>
    <row r="76" spans="1:7" x14ac:dyDescent="0.2">
      <c r="A76" s="28">
        <v>58</v>
      </c>
      <c r="B76" s="21">
        <f t="shared" si="11"/>
        <v>106297.34476779783</v>
      </c>
      <c r="C76" s="21">
        <f t="shared" si="6"/>
        <v>4146.9798242613151</v>
      </c>
      <c r="D76" s="21">
        <f t="shared" si="7"/>
        <v>398.61504287924186</v>
      </c>
      <c r="E76" s="21">
        <f t="shared" si="8"/>
        <v>3748.3647813820735</v>
      </c>
      <c r="F76" s="21">
        <f t="shared" si="9"/>
        <v>102548.97998641575</v>
      </c>
      <c r="G76" s="28">
        <f t="shared" si="10"/>
        <v>5</v>
      </c>
    </row>
    <row r="77" spans="1:7" x14ac:dyDescent="0.2">
      <c r="A77" s="28">
        <v>59</v>
      </c>
      <c r="B77" s="21">
        <f t="shared" si="11"/>
        <v>102548.97998641575</v>
      </c>
      <c r="C77" s="21">
        <f t="shared" si="6"/>
        <v>4146.9798242613151</v>
      </c>
      <c r="D77" s="21">
        <f t="shared" si="7"/>
        <v>384.55867494905908</v>
      </c>
      <c r="E77" s="21">
        <f t="shared" si="8"/>
        <v>3762.4211493122561</v>
      </c>
      <c r="F77" s="21">
        <f t="shared" si="9"/>
        <v>98786.558837103497</v>
      </c>
      <c r="G77" s="28">
        <f t="shared" si="10"/>
        <v>5</v>
      </c>
    </row>
    <row r="78" spans="1:7" x14ac:dyDescent="0.2">
      <c r="A78" s="28">
        <v>60</v>
      </c>
      <c r="B78" s="21">
        <f t="shared" si="11"/>
        <v>98786.558837103497</v>
      </c>
      <c r="C78" s="21">
        <f t="shared" si="6"/>
        <v>4146.9798242613151</v>
      </c>
      <c r="D78" s="21">
        <f t="shared" si="7"/>
        <v>370.44959563913812</v>
      </c>
      <c r="E78" s="21">
        <f t="shared" si="8"/>
        <v>3776.5302286221768</v>
      </c>
      <c r="F78" s="21">
        <f t="shared" si="9"/>
        <v>95010.028608481327</v>
      </c>
      <c r="G78" s="28">
        <f t="shared" si="10"/>
        <v>5</v>
      </c>
    </row>
    <row r="79" spans="1:7" x14ac:dyDescent="0.2">
      <c r="A79" s="28">
        <v>61</v>
      </c>
      <c r="B79" s="21">
        <f t="shared" si="11"/>
        <v>95010.028608481327</v>
      </c>
      <c r="C79" s="21">
        <f t="shared" si="6"/>
        <v>4146.9798242613151</v>
      </c>
      <c r="D79" s="21">
        <f t="shared" si="7"/>
        <v>356.28760728180498</v>
      </c>
      <c r="E79" s="21">
        <f t="shared" si="8"/>
        <v>3790.6922169795102</v>
      </c>
      <c r="F79" s="21">
        <f t="shared" si="9"/>
        <v>91219.336391501813</v>
      </c>
      <c r="G79" s="28">
        <f t="shared" si="10"/>
        <v>6</v>
      </c>
    </row>
    <row r="80" spans="1:7" x14ac:dyDescent="0.2">
      <c r="A80" s="28">
        <v>62</v>
      </c>
      <c r="B80" s="21">
        <f t="shared" si="11"/>
        <v>91219.336391501813</v>
      </c>
      <c r="C80" s="21">
        <f t="shared" si="6"/>
        <v>4146.9798242613151</v>
      </c>
      <c r="D80" s="21">
        <f t="shared" si="7"/>
        <v>342.07251146813178</v>
      </c>
      <c r="E80" s="21">
        <f t="shared" si="8"/>
        <v>3804.9073127931833</v>
      </c>
      <c r="F80" s="21">
        <f t="shared" si="9"/>
        <v>87414.429078708636</v>
      </c>
      <c r="G80" s="28">
        <f t="shared" si="10"/>
        <v>6</v>
      </c>
    </row>
    <row r="81" spans="1:7" x14ac:dyDescent="0.2">
      <c r="A81" s="28">
        <v>63</v>
      </c>
      <c r="B81" s="21">
        <f t="shared" si="11"/>
        <v>87414.429078708636</v>
      </c>
      <c r="C81" s="21">
        <f t="shared" si="6"/>
        <v>4146.9798242613151</v>
      </c>
      <c r="D81" s="21">
        <f t="shared" si="7"/>
        <v>327.80410904515736</v>
      </c>
      <c r="E81" s="21">
        <f t="shared" si="8"/>
        <v>3819.1757152161576</v>
      </c>
      <c r="F81" s="21">
        <f t="shared" si="9"/>
        <v>83595.253363492477</v>
      </c>
      <c r="G81" s="28">
        <f t="shared" si="10"/>
        <v>6</v>
      </c>
    </row>
    <row r="82" spans="1:7" x14ac:dyDescent="0.2">
      <c r="A82" s="28">
        <v>64</v>
      </c>
      <c r="B82" s="21">
        <f t="shared" si="11"/>
        <v>83595.253363492477</v>
      </c>
      <c r="C82" s="21">
        <f t="shared" si="6"/>
        <v>4146.9798242613151</v>
      </c>
      <c r="D82" s="21">
        <f t="shared" si="7"/>
        <v>313.48220011309678</v>
      </c>
      <c r="E82" s="21">
        <f t="shared" si="8"/>
        <v>3833.4976241482182</v>
      </c>
      <c r="F82" s="21">
        <f t="shared" si="9"/>
        <v>79761.755739344255</v>
      </c>
      <c r="G82" s="28">
        <f t="shared" si="10"/>
        <v>6</v>
      </c>
    </row>
    <row r="83" spans="1:7" x14ac:dyDescent="0.2">
      <c r="A83" s="28">
        <v>65</v>
      </c>
      <c r="B83" s="21">
        <f t="shared" si="11"/>
        <v>79761.755739344255</v>
      </c>
      <c r="C83" s="21">
        <f t="shared" ref="C83:C102" si="12">IF(A83&lt;=$B$8,$B$13,$B$14)</f>
        <v>4146.9798242613151</v>
      </c>
      <c r="D83" s="21">
        <f t="shared" ref="D83:D102" si="13">B83*$B$11</f>
        <v>299.10658402254097</v>
      </c>
      <c r="E83" s="21">
        <f t="shared" ref="E83:E114" si="14">C83-D83</f>
        <v>3847.8732402387741</v>
      </c>
      <c r="F83" s="21">
        <f t="shared" ref="F83:F114" si="15">B83-E83</f>
        <v>75913.882499105486</v>
      </c>
      <c r="G83" s="28">
        <f t="shared" ref="G83:G102" si="16">INT((A83-1)/12)+1</f>
        <v>6</v>
      </c>
    </row>
    <row r="84" spans="1:7" x14ac:dyDescent="0.2">
      <c r="A84" s="28">
        <v>66</v>
      </c>
      <c r="B84" s="21">
        <f t="shared" ref="B84:B102" si="17">F83</f>
        <v>75913.882499105486</v>
      </c>
      <c r="C84" s="21">
        <f t="shared" si="12"/>
        <v>4146.9798242613151</v>
      </c>
      <c r="D84" s="21">
        <f t="shared" si="13"/>
        <v>284.67705937164556</v>
      </c>
      <c r="E84" s="21">
        <f t="shared" si="14"/>
        <v>3862.3027648896696</v>
      </c>
      <c r="F84" s="21">
        <f t="shared" si="15"/>
        <v>72051.579734215818</v>
      </c>
      <c r="G84" s="28">
        <f t="shared" si="16"/>
        <v>6</v>
      </c>
    </row>
    <row r="85" spans="1:7" x14ac:dyDescent="0.2">
      <c r="A85" s="28">
        <v>67</v>
      </c>
      <c r="B85" s="21">
        <f t="shared" si="17"/>
        <v>72051.579734215818</v>
      </c>
      <c r="C85" s="21">
        <f t="shared" si="12"/>
        <v>4146.9798242613151</v>
      </c>
      <c r="D85" s="21">
        <f t="shared" si="13"/>
        <v>270.1934240033093</v>
      </c>
      <c r="E85" s="21">
        <f t="shared" si="14"/>
        <v>3876.7864002580059</v>
      </c>
      <c r="F85" s="21">
        <f t="shared" si="15"/>
        <v>68174.793333957816</v>
      </c>
      <c r="G85" s="28">
        <f t="shared" si="16"/>
        <v>6</v>
      </c>
    </row>
    <row r="86" spans="1:7" x14ac:dyDescent="0.2">
      <c r="A86" s="28">
        <v>68</v>
      </c>
      <c r="B86" s="21">
        <f t="shared" si="17"/>
        <v>68174.793333957816</v>
      </c>
      <c r="C86" s="21">
        <f t="shared" si="12"/>
        <v>4146.9798242613151</v>
      </c>
      <c r="D86" s="21">
        <f t="shared" si="13"/>
        <v>255.6554750023418</v>
      </c>
      <c r="E86" s="21">
        <f t="shared" si="14"/>
        <v>3891.3243492589731</v>
      </c>
      <c r="F86" s="21">
        <f t="shared" si="15"/>
        <v>64283.46898469884</v>
      </c>
      <c r="G86" s="28">
        <f t="shared" si="16"/>
        <v>6</v>
      </c>
    </row>
    <row r="87" spans="1:7" x14ac:dyDescent="0.2">
      <c r="A87" s="28">
        <v>69</v>
      </c>
      <c r="B87" s="21">
        <f t="shared" si="17"/>
        <v>64283.46898469884</v>
      </c>
      <c r="C87" s="21">
        <f t="shared" si="12"/>
        <v>4146.9798242613151</v>
      </c>
      <c r="D87" s="21">
        <f t="shared" si="13"/>
        <v>241.06300869262066</v>
      </c>
      <c r="E87" s="21">
        <f t="shared" si="14"/>
        <v>3905.9168155686943</v>
      </c>
      <c r="F87" s="21">
        <f t="shared" si="15"/>
        <v>60377.552169130147</v>
      </c>
      <c r="G87" s="28">
        <f t="shared" si="16"/>
        <v>6</v>
      </c>
    </row>
    <row r="88" spans="1:7" x14ac:dyDescent="0.2">
      <c r="A88" s="28">
        <v>70</v>
      </c>
      <c r="B88" s="21">
        <f t="shared" si="17"/>
        <v>60377.552169130147</v>
      </c>
      <c r="C88" s="21">
        <f t="shared" si="12"/>
        <v>4146.9798242613151</v>
      </c>
      <c r="D88" s="21">
        <f t="shared" si="13"/>
        <v>226.41582063423803</v>
      </c>
      <c r="E88" s="21">
        <f t="shared" si="14"/>
        <v>3920.564003627077</v>
      </c>
      <c r="F88" s="21">
        <f t="shared" si="15"/>
        <v>56456.988165503069</v>
      </c>
      <c r="G88" s="28">
        <f t="shared" si="16"/>
        <v>6</v>
      </c>
    </row>
    <row r="89" spans="1:7" x14ac:dyDescent="0.2">
      <c r="A89" s="28">
        <v>71</v>
      </c>
      <c r="B89" s="21">
        <f t="shared" si="17"/>
        <v>56456.988165503069</v>
      </c>
      <c r="C89" s="21">
        <f t="shared" si="12"/>
        <v>4146.9798242613151</v>
      </c>
      <c r="D89" s="21">
        <f t="shared" si="13"/>
        <v>211.71370562063649</v>
      </c>
      <c r="E89" s="21">
        <f t="shared" si="14"/>
        <v>3935.2661186406785</v>
      </c>
      <c r="F89" s="21">
        <f t="shared" si="15"/>
        <v>52521.722046862393</v>
      </c>
      <c r="G89" s="28">
        <f t="shared" si="16"/>
        <v>6</v>
      </c>
    </row>
    <row r="90" spans="1:7" x14ac:dyDescent="0.2">
      <c r="A90" s="28">
        <v>72</v>
      </c>
      <c r="B90" s="21">
        <f t="shared" si="17"/>
        <v>52521.722046862393</v>
      </c>
      <c r="C90" s="21">
        <f t="shared" si="12"/>
        <v>4146.9798242613151</v>
      </c>
      <c r="D90" s="21">
        <f t="shared" si="13"/>
        <v>196.95645767573396</v>
      </c>
      <c r="E90" s="21">
        <f t="shared" si="14"/>
        <v>3950.0233665855812</v>
      </c>
      <c r="F90" s="21">
        <f t="shared" si="15"/>
        <v>48571.698680276808</v>
      </c>
      <c r="G90" s="28">
        <f t="shared" si="16"/>
        <v>6</v>
      </c>
    </row>
    <row r="91" spans="1:7" x14ac:dyDescent="0.2">
      <c r="A91" s="28">
        <v>73</v>
      </c>
      <c r="B91" s="21">
        <f t="shared" si="17"/>
        <v>48571.698680276808</v>
      </c>
      <c r="C91" s="21">
        <f t="shared" si="12"/>
        <v>4146.9798242613151</v>
      </c>
      <c r="D91" s="21">
        <f t="shared" si="13"/>
        <v>182.14387005103802</v>
      </c>
      <c r="E91" s="21">
        <f t="shared" si="14"/>
        <v>3964.8359542102771</v>
      </c>
      <c r="F91" s="21">
        <f t="shared" si="15"/>
        <v>44606.862726066531</v>
      </c>
      <c r="G91" s="28">
        <f t="shared" si="16"/>
        <v>7</v>
      </c>
    </row>
    <row r="92" spans="1:7" x14ac:dyDescent="0.2">
      <c r="A92" s="28">
        <v>74</v>
      </c>
      <c r="B92" s="21">
        <f t="shared" si="17"/>
        <v>44606.862726066531</v>
      </c>
      <c r="C92" s="21">
        <f t="shared" si="12"/>
        <v>4146.9798242613151</v>
      </c>
      <c r="D92" s="21">
        <f t="shared" si="13"/>
        <v>167.27573522274949</v>
      </c>
      <c r="E92" s="21">
        <f t="shared" si="14"/>
        <v>3979.7040890385656</v>
      </c>
      <c r="F92" s="21">
        <f t="shared" si="15"/>
        <v>40627.158637027962</v>
      </c>
      <c r="G92" s="28">
        <f t="shared" si="16"/>
        <v>7</v>
      </c>
    </row>
    <row r="93" spans="1:7" x14ac:dyDescent="0.2">
      <c r="A93" s="28">
        <v>75</v>
      </c>
      <c r="B93" s="21">
        <f t="shared" si="17"/>
        <v>40627.158637027962</v>
      </c>
      <c r="C93" s="21">
        <f t="shared" si="12"/>
        <v>4146.9798242613151</v>
      </c>
      <c r="D93" s="21">
        <f t="shared" si="13"/>
        <v>152.35184488885486</v>
      </c>
      <c r="E93" s="21">
        <f t="shared" si="14"/>
        <v>3994.6279793724602</v>
      </c>
      <c r="F93" s="21">
        <f t="shared" si="15"/>
        <v>36632.530657655501</v>
      </c>
      <c r="G93" s="28">
        <f t="shared" si="16"/>
        <v>7</v>
      </c>
    </row>
    <row r="94" spans="1:7" x14ac:dyDescent="0.2">
      <c r="A94" s="28">
        <v>76</v>
      </c>
      <c r="B94" s="21">
        <f t="shared" si="17"/>
        <v>36632.530657655501</v>
      </c>
      <c r="C94" s="21">
        <f t="shared" si="12"/>
        <v>4146.9798242613151</v>
      </c>
      <c r="D94" s="21">
        <f t="shared" si="13"/>
        <v>137.37198996620813</v>
      </c>
      <c r="E94" s="21">
        <f t="shared" si="14"/>
        <v>4009.6078342951068</v>
      </c>
      <c r="F94" s="21">
        <f t="shared" si="15"/>
        <v>32622.922823360394</v>
      </c>
      <c r="G94" s="28">
        <f t="shared" si="16"/>
        <v>7</v>
      </c>
    </row>
    <row r="95" spans="1:7" x14ac:dyDescent="0.2">
      <c r="A95" s="28">
        <v>77</v>
      </c>
      <c r="B95" s="21">
        <f t="shared" si="17"/>
        <v>32622.922823360394</v>
      </c>
      <c r="C95" s="21">
        <f t="shared" si="12"/>
        <v>4146.9798242613151</v>
      </c>
      <c r="D95" s="21">
        <f t="shared" si="13"/>
        <v>122.33596058760148</v>
      </c>
      <c r="E95" s="21">
        <f t="shared" si="14"/>
        <v>4024.6438636737134</v>
      </c>
      <c r="F95" s="21">
        <f t="shared" si="15"/>
        <v>28598.278959686679</v>
      </c>
      <c r="G95" s="28">
        <f t="shared" si="16"/>
        <v>7</v>
      </c>
    </row>
    <row r="96" spans="1:7" x14ac:dyDescent="0.2">
      <c r="A96" s="28">
        <v>78</v>
      </c>
      <c r="B96" s="21">
        <f t="shared" si="17"/>
        <v>28598.278959686679</v>
      </c>
      <c r="C96" s="21">
        <f t="shared" si="12"/>
        <v>4146.9798242613151</v>
      </c>
      <c r="D96" s="21">
        <f t="shared" si="13"/>
        <v>107.24354609882504</v>
      </c>
      <c r="E96" s="21">
        <f t="shared" si="14"/>
        <v>4039.7362781624902</v>
      </c>
      <c r="F96" s="21">
        <f t="shared" si="15"/>
        <v>24558.542681524188</v>
      </c>
      <c r="G96" s="28">
        <f t="shared" si="16"/>
        <v>7</v>
      </c>
    </row>
    <row r="97" spans="1:7" x14ac:dyDescent="0.2">
      <c r="A97" s="28">
        <v>79</v>
      </c>
      <c r="B97" s="21">
        <f t="shared" si="17"/>
        <v>24558.542681524188</v>
      </c>
      <c r="C97" s="21">
        <f t="shared" si="12"/>
        <v>4146.9798242613151</v>
      </c>
      <c r="D97" s="21">
        <f t="shared" si="13"/>
        <v>92.094535055715696</v>
      </c>
      <c r="E97" s="21">
        <f t="shared" si="14"/>
        <v>4054.8852892055993</v>
      </c>
      <c r="F97" s="21">
        <f t="shared" si="15"/>
        <v>20503.65739231859</v>
      </c>
      <c r="G97" s="28">
        <f t="shared" si="16"/>
        <v>7</v>
      </c>
    </row>
    <row r="98" spans="1:7" x14ac:dyDescent="0.2">
      <c r="A98" s="28">
        <v>80</v>
      </c>
      <c r="B98" s="21">
        <f t="shared" si="17"/>
        <v>20503.65739231859</v>
      </c>
      <c r="C98" s="21">
        <f t="shared" si="12"/>
        <v>4146.9798242613151</v>
      </c>
      <c r="D98" s="21">
        <f t="shared" si="13"/>
        <v>76.888715221194715</v>
      </c>
      <c r="E98" s="21">
        <f t="shared" si="14"/>
        <v>4070.0911090401205</v>
      </c>
      <c r="F98" s="21">
        <f t="shared" si="15"/>
        <v>16433.566283278469</v>
      </c>
      <c r="G98" s="28">
        <f t="shared" si="16"/>
        <v>7</v>
      </c>
    </row>
    <row r="99" spans="1:7" x14ac:dyDescent="0.2">
      <c r="A99" s="28">
        <v>81</v>
      </c>
      <c r="B99" s="21">
        <f t="shared" si="17"/>
        <v>16433.566283278469</v>
      </c>
      <c r="C99" s="21">
        <f t="shared" si="12"/>
        <v>4146.9798242613151</v>
      </c>
      <c r="D99" s="21">
        <f t="shared" si="13"/>
        <v>61.62587356229426</v>
      </c>
      <c r="E99" s="21">
        <f t="shared" si="14"/>
        <v>4085.353950699021</v>
      </c>
      <c r="F99" s="21">
        <f t="shared" si="15"/>
        <v>12348.212332579449</v>
      </c>
      <c r="G99" s="28">
        <f t="shared" si="16"/>
        <v>7</v>
      </c>
    </row>
    <row r="100" spans="1:7" x14ac:dyDescent="0.2">
      <c r="A100" s="28">
        <v>82</v>
      </c>
      <c r="B100" s="21">
        <f t="shared" si="17"/>
        <v>12348.212332579449</v>
      </c>
      <c r="C100" s="21">
        <f t="shared" si="12"/>
        <v>4146.9798242613151</v>
      </c>
      <c r="D100" s="21">
        <f t="shared" si="13"/>
        <v>46.305796247172935</v>
      </c>
      <c r="E100" s="21">
        <f t="shared" si="14"/>
        <v>4100.6740280141421</v>
      </c>
      <c r="F100" s="21">
        <f t="shared" si="15"/>
        <v>8247.538304565307</v>
      </c>
      <c r="G100" s="28">
        <f t="shared" si="16"/>
        <v>7</v>
      </c>
    </row>
    <row r="101" spans="1:7" x14ac:dyDescent="0.2">
      <c r="A101" s="28">
        <v>83</v>
      </c>
      <c r="B101" s="21">
        <f t="shared" si="17"/>
        <v>8247.538304565307</v>
      </c>
      <c r="C101" s="21">
        <f t="shared" si="12"/>
        <v>4146.9798242613151</v>
      </c>
      <c r="D101" s="21">
        <f t="shared" si="13"/>
        <v>30.9282686421199</v>
      </c>
      <c r="E101" s="21">
        <f t="shared" si="14"/>
        <v>4116.0515556191949</v>
      </c>
      <c r="F101" s="21">
        <f t="shared" si="15"/>
        <v>4131.4867489461121</v>
      </c>
      <c r="G101" s="28">
        <f t="shared" si="16"/>
        <v>7</v>
      </c>
    </row>
    <row r="102" spans="1:7" x14ac:dyDescent="0.2">
      <c r="A102" s="28">
        <v>84</v>
      </c>
      <c r="B102" s="21">
        <f t="shared" si="17"/>
        <v>4131.4867489461121</v>
      </c>
      <c r="C102" s="21">
        <f t="shared" si="12"/>
        <v>4146.9798242613151</v>
      </c>
      <c r="D102" s="21">
        <f t="shared" si="13"/>
        <v>15.493075308547921</v>
      </c>
      <c r="E102" s="21">
        <f t="shared" si="14"/>
        <v>4131.4867489527669</v>
      </c>
      <c r="F102" s="21">
        <f t="shared" si="15"/>
        <v>-6.6547727328725159E-9</v>
      </c>
      <c r="G102" s="28">
        <f t="shared" si="16"/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1"/>
  <sheetViews>
    <sheetView zoomScaleNormal="100" workbookViewId="0"/>
  </sheetViews>
  <sheetFormatPr baseColWidth="10" defaultColWidth="8.6640625" defaultRowHeight="15" x14ac:dyDescent="0.2"/>
  <cols>
    <col min="1" max="1" width="36" customWidth="1"/>
    <col min="2" max="5" width="13" customWidth="1"/>
    <col min="6" max="6" width="55" customWidth="1"/>
  </cols>
  <sheetData>
    <row r="1" spans="1:6" ht="18" x14ac:dyDescent="0.2">
      <c r="A1" s="1" t="s">
        <v>256</v>
      </c>
    </row>
    <row r="3" spans="1:6" x14ac:dyDescent="0.2">
      <c r="A3" s="29"/>
      <c r="B3" s="9" t="s">
        <v>170</v>
      </c>
      <c r="C3" s="9" t="s">
        <v>48</v>
      </c>
      <c r="D3" s="9" t="s">
        <v>49</v>
      </c>
      <c r="E3" s="9" t="s">
        <v>50</v>
      </c>
    </row>
    <row r="4" spans="1:6" x14ac:dyDescent="0.2">
      <c r="A4" s="4" t="s">
        <v>171</v>
      </c>
      <c r="B4" s="22">
        <f>Revenue!$B$23</f>
        <v>789110.27344445873</v>
      </c>
      <c r="C4" s="22">
        <f>Revenue!$E$13*(1+Assumptions!$B$31)</f>
        <v>1090707.3936614508</v>
      </c>
      <c r="D4" s="22">
        <f>C4*(1+Assumptions!$C$31)</f>
        <v>1156149.8372811379</v>
      </c>
      <c r="E4" s="22">
        <f>D4*(1+Assumptions!$D$31)</f>
        <v>1202395.8307723836</v>
      </c>
      <c r="F4" s="2" t="s">
        <v>172</v>
      </c>
    </row>
    <row r="6" spans="1:6" x14ac:dyDescent="0.2">
      <c r="A6" s="3" t="s">
        <v>53</v>
      </c>
      <c r="B6" s="21">
        <f>B4*Assumptions!$B$34</f>
        <v>213059.77383000386</v>
      </c>
      <c r="C6" s="21">
        <f>C4*Assumptions!$B$34</f>
        <v>294490.99628859176</v>
      </c>
      <c r="D6" s="21">
        <f>D4*Assumptions!$B$34</f>
        <v>312160.45606590726</v>
      </c>
      <c r="E6" s="21">
        <f>E4*Assumptions!$B$34</f>
        <v>324646.87430854357</v>
      </c>
    </row>
    <row r="7" spans="1:6" x14ac:dyDescent="0.2">
      <c r="A7" s="3" t="s">
        <v>55</v>
      </c>
      <c r="B7" s="21">
        <f>B4*Assumptions!$B$35</f>
        <v>7891.1027344445874</v>
      </c>
      <c r="C7" s="21">
        <f>C4*Assumptions!$B$35</f>
        <v>10907.073936614508</v>
      </c>
      <c r="D7" s="21">
        <f>D4*Assumptions!$B$35</f>
        <v>11561.49837281138</v>
      </c>
      <c r="E7" s="21">
        <f>E4*Assumptions!$B$35</f>
        <v>12023.958307723837</v>
      </c>
    </row>
    <row r="8" spans="1:6" x14ac:dyDescent="0.2">
      <c r="A8" s="3" t="s">
        <v>57</v>
      </c>
      <c r="B8" s="21">
        <f>B4*Assumptions!$B$36</f>
        <v>7891.1027344445874</v>
      </c>
      <c r="C8" s="21">
        <f>C4*Assumptions!$B$36</f>
        <v>10907.073936614508</v>
      </c>
      <c r="D8" s="21">
        <f>D4*Assumptions!$B$36</f>
        <v>11561.49837281138</v>
      </c>
      <c r="E8" s="21">
        <f>E4*Assumptions!$B$36</f>
        <v>12023.958307723837</v>
      </c>
    </row>
    <row r="9" spans="1:6" x14ac:dyDescent="0.2">
      <c r="A9" s="3" t="s">
        <v>173</v>
      </c>
      <c r="B9" s="21">
        <f>B4*Assumptions!$B$37</f>
        <v>7891.1027344445874</v>
      </c>
      <c r="C9" s="21">
        <f>C4*Assumptions!$B$37</f>
        <v>10907.073936614508</v>
      </c>
      <c r="D9" s="21">
        <f>D4*Assumptions!$B$37</f>
        <v>11561.49837281138</v>
      </c>
      <c r="E9" s="21">
        <f>E4*Assumptions!$B$37</f>
        <v>12023.958307723837</v>
      </c>
    </row>
    <row r="10" spans="1:6" x14ac:dyDescent="0.2">
      <c r="A10" s="3" t="s">
        <v>174</v>
      </c>
      <c r="B10" s="21">
        <f>SUM(B6:B9)</f>
        <v>236733.08203333759</v>
      </c>
      <c r="C10" s="21">
        <f>SUM(C6:C9)</f>
        <v>327212.21809843526</v>
      </c>
      <c r="D10" s="21">
        <f>SUM(D6:D9)</f>
        <v>346844.95118434133</v>
      </c>
      <c r="E10" s="21">
        <f>SUM(E6:E9)</f>
        <v>360718.74923171516</v>
      </c>
    </row>
    <row r="11" spans="1:6" x14ac:dyDescent="0.2">
      <c r="A11" s="4" t="s">
        <v>175</v>
      </c>
      <c r="B11" s="17">
        <f>B4-B10</f>
        <v>552377.19141112117</v>
      </c>
      <c r="C11" s="17">
        <f>C4-C10</f>
        <v>763495.17556301551</v>
      </c>
      <c r="D11" s="17">
        <f>D4-D10</f>
        <v>809304.8860967966</v>
      </c>
      <c r="E11" s="17">
        <f>E4-E10</f>
        <v>841677.08154066838</v>
      </c>
    </row>
    <row r="12" spans="1:6" x14ac:dyDescent="0.2">
      <c r="A12" s="3" t="s">
        <v>176</v>
      </c>
      <c r="B12" s="30">
        <f>B11/B4</f>
        <v>0.70000000000000007</v>
      </c>
      <c r="C12" s="30">
        <f>C11/C4</f>
        <v>0.7</v>
      </c>
      <c r="D12" s="30">
        <f>D11/D4</f>
        <v>0.70000000000000007</v>
      </c>
      <c r="E12" s="30">
        <f>E11/E4</f>
        <v>0.69999999999999984</v>
      </c>
    </row>
    <row r="14" spans="1:6" x14ac:dyDescent="0.2">
      <c r="A14" s="3" t="s">
        <v>60</v>
      </c>
      <c r="B14" s="26">
        <f>Assumptions!$B$40</f>
        <v>60000</v>
      </c>
      <c r="C14" s="26">
        <f>Assumptions!$B$40</f>
        <v>60000</v>
      </c>
      <c r="D14" s="26">
        <f>Assumptions!$B$40</f>
        <v>60000</v>
      </c>
      <c r="E14" s="26">
        <f>Assumptions!$B$40</f>
        <v>60000</v>
      </c>
      <c r="F14" s="2" t="s">
        <v>177</v>
      </c>
    </row>
    <row r="15" spans="1:6" x14ac:dyDescent="0.2">
      <c r="A15" s="3" t="s">
        <v>62</v>
      </c>
      <c r="B15" s="26">
        <f>Assumptions!$B$41*1</f>
        <v>6000</v>
      </c>
      <c r="C15" s="26">
        <f>Assumptions!$B$41*(1+Assumptions!$B$50)</f>
        <v>6120</v>
      </c>
      <c r="D15" s="26">
        <f>Assumptions!$B$41*(1+Assumptions!$B$50)^2</f>
        <v>6242.4</v>
      </c>
      <c r="E15" s="26">
        <f>Assumptions!$B$41*(1+Assumptions!$B$50)^3</f>
        <v>6367.2479999999996</v>
      </c>
    </row>
    <row r="16" spans="1:6" x14ac:dyDescent="0.2">
      <c r="A16" s="3" t="s">
        <v>63</v>
      </c>
      <c r="B16" s="26">
        <f>Assumptions!$B$42*1</f>
        <v>2000</v>
      </c>
      <c r="C16" s="26">
        <f>Assumptions!$B$42*(1+Assumptions!$B$50)</f>
        <v>2040</v>
      </c>
      <c r="D16" s="26">
        <f>Assumptions!$B$42*(1+Assumptions!$B$50)^2</f>
        <v>2080.8000000000002</v>
      </c>
      <c r="E16" s="26">
        <f>Assumptions!$B$42*(1+Assumptions!$B$50)^3</f>
        <v>2122.4159999999997</v>
      </c>
    </row>
    <row r="17" spans="1:6" x14ac:dyDescent="0.2">
      <c r="A17" s="3" t="s">
        <v>64</v>
      </c>
      <c r="B17" s="26">
        <f>Assumptions!$B$43*1</f>
        <v>18000</v>
      </c>
      <c r="C17" s="26">
        <f>Assumptions!$B$43*(1+Assumptions!$B$50)</f>
        <v>18360</v>
      </c>
      <c r="D17" s="26">
        <f>Assumptions!$B$43*(1+Assumptions!$B$50)^2</f>
        <v>18727.2</v>
      </c>
      <c r="E17" s="26">
        <f>Assumptions!$B$43*(1+Assumptions!$B$50)^3</f>
        <v>19101.743999999999</v>
      </c>
    </row>
    <row r="18" spans="1:6" x14ac:dyDescent="0.2">
      <c r="A18" s="3" t="s">
        <v>65</v>
      </c>
      <c r="B18" s="26">
        <f>Assumptions!$B$44*1</f>
        <v>2500</v>
      </c>
      <c r="C18" s="26">
        <f>Assumptions!$B$44*(1+Assumptions!$B$50)</f>
        <v>2550</v>
      </c>
      <c r="D18" s="26">
        <f>Assumptions!$B$44*(1+Assumptions!$B$50)^2</f>
        <v>2601</v>
      </c>
      <c r="E18" s="26">
        <f>Assumptions!$B$44*(1+Assumptions!$B$50)^3</f>
        <v>2653.02</v>
      </c>
    </row>
    <row r="19" spans="1:6" x14ac:dyDescent="0.2">
      <c r="A19" s="3" t="s">
        <v>66</v>
      </c>
      <c r="B19" s="26">
        <f>Assumptions!$B$45*1</f>
        <v>3000</v>
      </c>
      <c r="C19" s="26">
        <f>Assumptions!$B$45*(1+Assumptions!$B$50)</f>
        <v>3060</v>
      </c>
      <c r="D19" s="26">
        <f>Assumptions!$B$45*(1+Assumptions!$B$50)^2</f>
        <v>3121.2</v>
      </c>
      <c r="E19" s="26">
        <f>Assumptions!$B$45*(1+Assumptions!$B$50)^3</f>
        <v>3183.6239999999998</v>
      </c>
    </row>
    <row r="20" spans="1:6" x14ac:dyDescent="0.2">
      <c r="A20" s="3" t="s">
        <v>67</v>
      </c>
      <c r="B20" s="26">
        <f>Assumptions!$B$46*1</f>
        <v>3000</v>
      </c>
      <c r="C20" s="26">
        <f>Assumptions!$B$46*(1+Assumptions!$B$50)</f>
        <v>3060</v>
      </c>
      <c r="D20" s="26">
        <f>Assumptions!$B$46*(1+Assumptions!$B$50)^2</f>
        <v>3121.2</v>
      </c>
      <c r="E20" s="26">
        <f>Assumptions!$B$46*(1+Assumptions!$B$50)^3</f>
        <v>3183.6239999999998</v>
      </c>
    </row>
    <row r="21" spans="1:6" x14ac:dyDescent="0.2">
      <c r="A21" s="3" t="s">
        <v>68</v>
      </c>
      <c r="B21" s="26">
        <f>Assumptions!$B$47*1</f>
        <v>2000</v>
      </c>
      <c r="C21" s="26">
        <f>Assumptions!$B$47*(1+Assumptions!$B$50)</f>
        <v>2040</v>
      </c>
      <c r="D21" s="26">
        <f>Assumptions!$B$47*(1+Assumptions!$B$50)^2</f>
        <v>2080.8000000000002</v>
      </c>
      <c r="E21" s="26">
        <f>Assumptions!$B$47*(1+Assumptions!$B$50)^3</f>
        <v>2122.4159999999997</v>
      </c>
    </row>
    <row r="22" spans="1:6" x14ac:dyDescent="0.2">
      <c r="A22" s="3" t="s">
        <v>69</v>
      </c>
      <c r="B22" s="26">
        <f>Assumptions!$B$48*1</f>
        <v>7200</v>
      </c>
      <c r="C22" s="26">
        <f>Assumptions!$B$48*(1+Assumptions!$B$50)</f>
        <v>7344</v>
      </c>
      <c r="D22" s="26">
        <f>Assumptions!$B$48*(1+Assumptions!$B$50)^2</f>
        <v>7490.88</v>
      </c>
      <c r="E22" s="26">
        <f>Assumptions!$B$48*(1+Assumptions!$B$50)^3</f>
        <v>7640.6975999999995</v>
      </c>
    </row>
    <row r="23" spans="1:6" x14ac:dyDescent="0.2">
      <c r="A23" s="3" t="s">
        <v>178</v>
      </c>
      <c r="B23" s="21">
        <f>B4*Assumptions!$B$49</f>
        <v>7891.1027344445874</v>
      </c>
      <c r="C23" s="21">
        <f>C4*Assumptions!$B$49</f>
        <v>10907.073936614508</v>
      </c>
      <c r="D23" s="21">
        <f>D4*Assumptions!$B$49</f>
        <v>11561.49837281138</v>
      </c>
      <c r="E23" s="21">
        <f>E4*Assumptions!$B$49</f>
        <v>12023.958307723837</v>
      </c>
    </row>
    <row r="24" spans="1:6" x14ac:dyDescent="0.2">
      <c r="A24" s="3" t="s">
        <v>179</v>
      </c>
      <c r="B24" s="31">
        <f>SUM(B14:B23)</f>
        <v>111591.10273444459</v>
      </c>
      <c r="C24" s="31">
        <f>SUM(C14:C23)</f>
        <v>115481.07393661451</v>
      </c>
      <c r="D24" s="31">
        <f>SUM(D14:D23)</f>
        <v>117026.97837281137</v>
      </c>
      <c r="E24" s="31">
        <f>SUM(E14:E23)</f>
        <v>118398.74790772382</v>
      </c>
    </row>
    <row r="26" spans="1:6" x14ac:dyDescent="0.2">
      <c r="A26" s="3" t="s">
        <v>180</v>
      </c>
      <c r="B26" s="26">
        <f>Assumptions!$B$60*12*1</f>
        <v>250800</v>
      </c>
      <c r="C26" s="26">
        <f>Assumptions!$B$60*12*(1+Assumptions!$B$62)</f>
        <v>255816</v>
      </c>
      <c r="D26" s="26">
        <f>Assumptions!$B$60*12*(1+Assumptions!$B$62)^2</f>
        <v>260932.32</v>
      </c>
      <c r="E26" s="26">
        <f>Assumptions!$B$60*12*(1+Assumptions!$B$62)^3</f>
        <v>266150.96639999998</v>
      </c>
      <c r="F26" s="2" t="s">
        <v>181</v>
      </c>
    </row>
    <row r="27" spans="1:6" x14ac:dyDescent="0.2">
      <c r="A27" s="3" t="s">
        <v>182</v>
      </c>
      <c r="B27" s="21">
        <f>B26*Assumptions!$B$61</f>
        <v>105336</v>
      </c>
      <c r="C27" s="21">
        <f>C26*Assumptions!$B$61</f>
        <v>107442.72</v>
      </c>
      <c r="D27" s="21">
        <f>D26*Assumptions!$B$61</f>
        <v>109591.5744</v>
      </c>
      <c r="E27" s="21">
        <f>E26*Assumptions!$B$61</f>
        <v>111783.40588799998</v>
      </c>
    </row>
    <row r="28" spans="1:6" x14ac:dyDescent="0.2">
      <c r="A28" s="3" t="s">
        <v>183</v>
      </c>
      <c r="B28" s="21">
        <f>B26*Assumptions!$B$65</f>
        <v>3009.6</v>
      </c>
      <c r="C28" s="21">
        <f>C26*Assumptions!$B$65</f>
        <v>3069.7919999999999</v>
      </c>
      <c r="D28" s="21">
        <f>D26*Assumptions!$B$65</f>
        <v>3131.1878400000001</v>
      </c>
      <c r="E28" s="21">
        <f>E26*Assumptions!$B$65</f>
        <v>3193.8115967999997</v>
      </c>
    </row>
    <row r="29" spans="1:6" x14ac:dyDescent="0.2">
      <c r="A29" s="3" t="s">
        <v>184</v>
      </c>
      <c r="B29" s="31">
        <f>SUM(B26:B28)</f>
        <v>359145.6</v>
      </c>
      <c r="C29" s="31">
        <f>SUM(C26:C28)</f>
        <v>366328.51199999999</v>
      </c>
      <c r="D29" s="31">
        <f>SUM(D26:D28)</f>
        <v>373655.08224000002</v>
      </c>
      <c r="E29" s="31">
        <f>SUM(E26:E28)</f>
        <v>381128.18388479995</v>
      </c>
    </row>
    <row r="31" spans="1:6" x14ac:dyDescent="0.2">
      <c r="A31" s="4" t="s">
        <v>185</v>
      </c>
      <c r="B31" s="17">
        <f>B11-B24-B29</f>
        <v>81640.488676676585</v>
      </c>
      <c r="C31" s="17">
        <f>C11-C24-C29</f>
        <v>281685.58962640096</v>
      </c>
      <c r="D31" s="17">
        <f>D11-D24-D29</f>
        <v>318622.82548398525</v>
      </c>
      <c r="E31" s="17">
        <f>E11-E24-E29</f>
        <v>342150.14974814467</v>
      </c>
    </row>
    <row r="32" spans="1:6" x14ac:dyDescent="0.2">
      <c r="A32" s="3" t="s">
        <v>186</v>
      </c>
      <c r="B32" s="30">
        <f>B31/B4</f>
        <v>0.10345890989394503</v>
      </c>
      <c r="C32" s="30">
        <f>C31/C4</f>
        <v>0.25825953987603983</v>
      </c>
      <c r="D32" s="30">
        <f>D31/D4</f>
        <v>0.27558956046153604</v>
      </c>
      <c r="E32" s="30">
        <f>E31/E4</f>
        <v>0.28455699944365037</v>
      </c>
    </row>
    <row r="33" spans="1:6" x14ac:dyDescent="0.2">
      <c r="A33" s="3" t="s">
        <v>187</v>
      </c>
      <c r="B33" s="26">
        <f>Investment!$D$9</f>
        <v>35000</v>
      </c>
      <c r="C33" s="26">
        <f>Investment!$D$9</f>
        <v>35000</v>
      </c>
      <c r="D33" s="26">
        <f>Investment!$D$9</f>
        <v>35000</v>
      </c>
      <c r="E33" s="26">
        <f>Investment!$D$9</f>
        <v>35000</v>
      </c>
    </row>
    <row r="34" spans="1:6" x14ac:dyDescent="0.2">
      <c r="A34" s="3" t="s">
        <v>188</v>
      </c>
      <c r="B34" s="26">
        <f>SUMIFS(Loan!$D$19:$D$102,Loan!$G$19:$G$102,1)</f>
        <v>12424.921405873361</v>
      </c>
      <c r="C34" s="26">
        <f>SUMIFS(Loan!$D$19:$D$102,Loan!$G$19:$G$102,2)</f>
        <v>10962.143535254125</v>
      </c>
      <c r="D34" s="26">
        <f>SUMIFS(Loan!$D$19:$D$102,Loan!$G$19:$G$102,3)</f>
        <v>9179.6041604524544</v>
      </c>
      <c r="E34" s="26">
        <f>SUMIFS(Loan!$D$19:$D$102,Loan!$G$19:$G$102,4)</f>
        <v>7315.1752386444314</v>
      </c>
      <c r="F34" s="2" t="s">
        <v>257</v>
      </c>
    </row>
    <row r="35" spans="1:6" x14ac:dyDescent="0.2">
      <c r="A35" s="4" t="s">
        <v>189</v>
      </c>
      <c r="B35" s="17">
        <f>B31-B33-B34</f>
        <v>34215.567270803222</v>
      </c>
      <c r="C35" s="17">
        <f>C31-C33-C34</f>
        <v>235723.44609114685</v>
      </c>
      <c r="D35" s="17">
        <f>D31-D33-D34</f>
        <v>274443.22132353281</v>
      </c>
      <c r="E35" s="17">
        <f>E31-E33-E34</f>
        <v>299834.97450950026</v>
      </c>
    </row>
    <row r="36" spans="1:6" x14ac:dyDescent="0.2">
      <c r="A36" s="3" t="s">
        <v>190</v>
      </c>
      <c r="B36" s="21">
        <f>MAX(0,B35*Assumptions!$B$66)</f>
        <v>8553.8918177008054</v>
      </c>
      <c r="C36" s="21">
        <f>MAX(0,C35*Assumptions!$B$66)</f>
        <v>58930.861522786712</v>
      </c>
      <c r="D36" s="21">
        <f>MAX(0,D35*Assumptions!$B$66)</f>
        <v>68610.805330883202</v>
      </c>
      <c r="E36" s="21">
        <f>MAX(0,E35*Assumptions!$B$66)</f>
        <v>74958.743627375065</v>
      </c>
    </row>
    <row r="37" spans="1:6" x14ac:dyDescent="0.2">
      <c r="A37" s="4" t="s">
        <v>191</v>
      </c>
      <c r="B37" s="25">
        <f>B35-B36</f>
        <v>25661.675453102416</v>
      </c>
      <c r="C37" s="25">
        <f>C35-C36</f>
        <v>176792.58456836012</v>
      </c>
      <c r="D37" s="25">
        <f>D35-D36</f>
        <v>205832.41599264962</v>
      </c>
      <c r="E37" s="25">
        <f>E35-E36</f>
        <v>224876.23088212521</v>
      </c>
    </row>
    <row r="39" spans="1:6" x14ac:dyDescent="0.2">
      <c r="A39" s="3" t="s">
        <v>192</v>
      </c>
      <c r="B39" s="21">
        <f>B37+B33</f>
        <v>60661.67545310242</v>
      </c>
      <c r="C39" s="21">
        <f>C37+C33</f>
        <v>211792.58456836012</v>
      </c>
      <c r="D39" s="21">
        <f>D37+D33</f>
        <v>240832.41599264962</v>
      </c>
      <c r="E39" s="21">
        <f>E37+E33</f>
        <v>259876.23088212521</v>
      </c>
    </row>
    <row r="40" spans="1:6" x14ac:dyDescent="0.2">
      <c r="A40" s="3" t="s">
        <v>193</v>
      </c>
      <c r="B40" s="26">
        <f>SUMIFS(Loan!$E$19:$E$102,Loan!$G$19:$G$102,1)</f>
        <v>18756.957539694529</v>
      </c>
      <c r="C40" s="26">
        <f>SUMIFS(Loan!$E$19:$E$102,Loan!$G$19:$G$102,2)</f>
        <v>38801.614355881655</v>
      </c>
      <c r="D40" s="26">
        <f>SUMIFS(Loan!$E$19:$E$102,Loan!$G$19:$G$102,3)</f>
        <v>40584.153730683327</v>
      </c>
      <c r="E40" s="26">
        <f>SUMIFS(Loan!$E$19:$E$102,Loan!$G$19:$G$102,4)</f>
        <v>42448.582652491343</v>
      </c>
    </row>
    <row r="41" spans="1:6" x14ac:dyDescent="0.2">
      <c r="A41" s="4" t="s">
        <v>194</v>
      </c>
      <c r="B41" s="17">
        <f>B39-B40</f>
        <v>41904.717913407891</v>
      </c>
      <c r="C41" s="17">
        <f>C39-C40</f>
        <v>172990.97021247848</v>
      </c>
      <c r="D41" s="17">
        <f>D39-D40</f>
        <v>200248.2622619663</v>
      </c>
      <c r="E41" s="17">
        <f>E39-E40</f>
        <v>217427.64822963387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zoomScaleNormal="100" workbookViewId="0"/>
  </sheetViews>
  <sheetFormatPr baseColWidth="10" defaultColWidth="8.6640625" defaultRowHeight="15" x14ac:dyDescent="0.2"/>
  <cols>
    <col min="1" max="1" width="42" customWidth="1"/>
    <col min="2" max="5" width="14" customWidth="1"/>
    <col min="6" max="6" width="52" customWidth="1"/>
  </cols>
  <sheetData>
    <row r="1" spans="1:6" ht="18" x14ac:dyDescent="0.2">
      <c r="A1" s="1" t="s">
        <v>258</v>
      </c>
    </row>
    <row r="3" spans="1:6" x14ac:dyDescent="0.2">
      <c r="A3" s="7" t="s">
        <v>195</v>
      </c>
      <c r="B3" s="8"/>
      <c r="C3" s="8"/>
      <c r="D3" s="8"/>
      <c r="E3" s="8"/>
      <c r="F3" s="8"/>
    </row>
    <row r="4" spans="1:6" x14ac:dyDescent="0.2">
      <c r="A4" s="3" t="s">
        <v>196</v>
      </c>
      <c r="B4" s="32">
        <f>1-(SUM(Assumptions!$B$34:$B$37)+Assumptions!$B$49)</f>
        <v>0.69</v>
      </c>
    </row>
    <row r="5" spans="1:6" x14ac:dyDescent="0.2">
      <c r="A5" s="3" t="s">
        <v>197</v>
      </c>
      <c r="B5" s="26">
        <f>PnL!C29+PnL!C24-PnL!C14+PnL!C33+PnL!C34</f>
        <v>467771.7294718686</v>
      </c>
      <c r="F5" s="2" t="s">
        <v>198</v>
      </c>
    </row>
    <row r="6" spans="1:6" x14ac:dyDescent="0.2">
      <c r="A6" s="3" t="s">
        <v>199</v>
      </c>
      <c r="B6" s="19">
        <f>Revenue!$E$13/(SUMPRODUCT(Assumptions!$B$8:$D$8,Assumptions!$B$19:$D$19)*Assumptions!$B$22*Assumptions!$B$23)</f>
        <v>30.493752478916726</v>
      </c>
    </row>
    <row r="7" spans="1:6" x14ac:dyDescent="0.2">
      <c r="A7" s="3" t="s">
        <v>200</v>
      </c>
      <c r="B7" s="33">
        <f>SUMPRODUCT(Assumptions!$B$8:$D$8,Assumptions!$B$19:$D$19)</f>
        <v>715.2</v>
      </c>
    </row>
    <row r="9" spans="1:6" x14ac:dyDescent="0.2">
      <c r="A9" s="7" t="s">
        <v>201</v>
      </c>
      <c r="B9" s="8"/>
      <c r="C9" s="8"/>
      <c r="D9" s="8"/>
      <c r="E9" s="8"/>
      <c r="F9" s="8"/>
    </row>
    <row r="10" spans="1:6" x14ac:dyDescent="0.2">
      <c r="B10" s="9" t="s">
        <v>202</v>
      </c>
      <c r="C10" s="9" t="s">
        <v>203</v>
      </c>
      <c r="D10" s="9" t="s">
        <v>204</v>
      </c>
      <c r="E10" s="9" t="s">
        <v>205</v>
      </c>
    </row>
    <row r="11" spans="1:6" x14ac:dyDescent="0.2">
      <c r="A11" s="3" t="s">
        <v>206</v>
      </c>
      <c r="B11" s="10">
        <v>3500</v>
      </c>
      <c r="C11" s="10">
        <v>5000</v>
      </c>
      <c r="D11" s="10">
        <v>6500</v>
      </c>
      <c r="E11" s="10">
        <v>8000</v>
      </c>
    </row>
    <row r="12" spans="1:6" x14ac:dyDescent="0.2">
      <c r="A12" s="3" t="s">
        <v>207</v>
      </c>
      <c r="B12" s="21">
        <f>B11*12</f>
        <v>42000</v>
      </c>
      <c r="C12" s="21">
        <f>C11*12</f>
        <v>60000</v>
      </c>
      <c r="D12" s="21">
        <f>D11*12</f>
        <v>78000</v>
      </c>
      <c r="E12" s="21">
        <f>E11*12</f>
        <v>96000</v>
      </c>
    </row>
    <row r="13" spans="1:6" x14ac:dyDescent="0.2">
      <c r="A13" s="3" t="s">
        <v>208</v>
      </c>
      <c r="B13" s="21">
        <f>$B$5+B12</f>
        <v>509771.7294718686</v>
      </c>
      <c r="C13" s="21">
        <f>$B$5+C12</f>
        <v>527771.7294718686</v>
      </c>
      <c r="D13" s="21">
        <f>$B$5+D12</f>
        <v>545771.7294718686</v>
      </c>
      <c r="E13" s="21">
        <f>$B$5+E12</f>
        <v>563771.7294718686</v>
      </c>
    </row>
    <row r="14" spans="1:6" x14ac:dyDescent="0.2">
      <c r="A14" s="4" t="s">
        <v>209</v>
      </c>
      <c r="B14" s="17">
        <f>B13/$B$4</f>
        <v>738799.60793024441</v>
      </c>
      <c r="C14" s="17">
        <f>C13/$B$4</f>
        <v>764886.56445198355</v>
      </c>
      <c r="D14" s="17">
        <f>D13/$B$4</f>
        <v>790973.52097372268</v>
      </c>
      <c r="E14" s="17">
        <f>E13/$B$4</f>
        <v>817060.47749546182</v>
      </c>
    </row>
    <row r="15" spans="1:6" x14ac:dyDescent="0.2">
      <c r="A15" s="3" t="s">
        <v>210</v>
      </c>
      <c r="B15" s="21">
        <f>B14/Assumptions!$B$23</f>
        <v>70361.867421928036</v>
      </c>
      <c r="C15" s="21">
        <f>C14/Assumptions!$B$23</f>
        <v>72846.339471617481</v>
      </c>
      <c r="D15" s="21">
        <f>D14/Assumptions!$B$23</f>
        <v>75330.811521306925</v>
      </c>
      <c r="E15" s="21">
        <f>E14/Assumptions!$B$23</f>
        <v>77815.283570996369</v>
      </c>
    </row>
    <row r="16" spans="1:6" x14ac:dyDescent="0.2">
      <c r="A16" s="3" t="s">
        <v>211</v>
      </c>
      <c r="B16" s="34">
        <f>B14/$B$6/(Assumptions!$B$22*Assumptions!$B$23)</f>
        <v>532.89125106205313</v>
      </c>
      <c r="C16" s="34">
        <f>C14/$B$6/(Assumptions!$B$22*Assumptions!$B$23)</f>
        <v>551.70759956583254</v>
      </c>
      <c r="D16" s="34">
        <f>D14/$B$6/(Assumptions!$B$22*Assumptions!$B$23)</f>
        <v>570.52394806961172</v>
      </c>
      <c r="E16" s="34">
        <f>E14/$B$6/(Assumptions!$B$22*Assumptions!$B$23)</f>
        <v>589.34029657339102</v>
      </c>
    </row>
    <row r="17" spans="1:5" x14ac:dyDescent="0.2">
      <c r="A17" s="4" t="s">
        <v>212</v>
      </c>
      <c r="B17" s="35">
        <f>B16/$B$7</f>
        <v>0.74509403112703176</v>
      </c>
      <c r="C17" s="35">
        <f>C16/$B$7</f>
        <v>0.77140324324081722</v>
      </c>
      <c r="D17" s="35">
        <f>D16/$B$7</f>
        <v>0.79771245535460245</v>
      </c>
      <c r="E17" s="35">
        <f>E16/$B$7</f>
        <v>0.82402166746838779</v>
      </c>
    </row>
    <row r="18" spans="1:5" x14ac:dyDescent="0.2">
      <c r="A18" s="2" t="s">
        <v>259</v>
      </c>
    </row>
    <row r="19" spans="1:5" x14ac:dyDescent="0.2">
      <c r="A19" s="2" t="s">
        <v>213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7"/>
  <sheetViews>
    <sheetView tabSelected="1" zoomScaleNormal="100" workbookViewId="0"/>
  </sheetViews>
  <sheetFormatPr baseColWidth="10" defaultColWidth="8.6640625" defaultRowHeight="15" x14ac:dyDescent="0.2"/>
  <cols>
    <col min="1" max="1" width="42" customWidth="1"/>
    <col min="2" max="4" width="14" customWidth="1"/>
    <col min="5" max="5" width="50" customWidth="1"/>
  </cols>
  <sheetData>
    <row r="1" spans="1:5" ht="18" x14ac:dyDescent="0.2">
      <c r="A1" s="1" t="s">
        <v>260</v>
      </c>
    </row>
    <row r="3" spans="1:5" x14ac:dyDescent="0.2">
      <c r="A3" s="9" t="s">
        <v>214</v>
      </c>
      <c r="B3" s="9" t="s">
        <v>215</v>
      </c>
      <c r="C3" s="9" t="s">
        <v>216</v>
      </c>
      <c r="D3" s="9" t="s">
        <v>217</v>
      </c>
    </row>
    <row r="4" spans="1:5" x14ac:dyDescent="0.2">
      <c r="A4" s="3" t="s">
        <v>218</v>
      </c>
      <c r="B4" s="26">
        <f>Revenue!$E$13</f>
        <v>991552.17605586431</v>
      </c>
    </row>
    <row r="5" spans="1:5" x14ac:dyDescent="0.2">
      <c r="A5" s="3" t="s">
        <v>219</v>
      </c>
      <c r="B5" s="26">
        <f>Revenue!$E$13/Assumptions!$B$69</f>
        <v>24788.804401396606</v>
      </c>
      <c r="C5" s="21">
        <v>15000</v>
      </c>
      <c r="D5" s="21">
        <v>30000</v>
      </c>
    </row>
    <row r="6" spans="1:5" x14ac:dyDescent="0.2">
      <c r="A6" s="3" t="s">
        <v>220</v>
      </c>
      <c r="B6" s="26">
        <f>Revenue!$E$13/Assumptions!$B$70</f>
        <v>11017.246400620714</v>
      </c>
      <c r="C6" s="21">
        <v>8000</v>
      </c>
      <c r="D6" s="21">
        <v>15000</v>
      </c>
    </row>
    <row r="7" spans="1:5" x14ac:dyDescent="0.2">
      <c r="A7" s="3" t="s">
        <v>221</v>
      </c>
      <c r="B7" s="26">
        <f>Revenue!$E$13/(Assumptions!$B$71*Assumptions!$B$22*Assumptions!$B$23)</f>
        <v>363.4855295486874</v>
      </c>
      <c r="C7" s="21">
        <v>200</v>
      </c>
      <c r="D7" s="21">
        <v>500</v>
      </c>
    </row>
    <row r="8" spans="1:5" x14ac:dyDescent="0.2">
      <c r="A8" s="3" t="s">
        <v>222</v>
      </c>
      <c r="B8" s="32">
        <f>Assumptions!$B$34</f>
        <v>0.27</v>
      </c>
      <c r="C8" s="30">
        <v>0.25</v>
      </c>
      <c r="D8" s="30">
        <v>0.32</v>
      </c>
    </row>
    <row r="9" spans="1:5" x14ac:dyDescent="0.2">
      <c r="A9" s="3" t="s">
        <v>223</v>
      </c>
      <c r="B9" s="32">
        <f>PnL!C29/PnL!C4</f>
        <v>0.33586323346562569</v>
      </c>
      <c r="C9" s="30">
        <v>0.3</v>
      </c>
      <c r="D9" s="30">
        <v>0.4</v>
      </c>
    </row>
    <row r="10" spans="1:5" x14ac:dyDescent="0.2">
      <c r="A10" s="3" t="s">
        <v>224</v>
      </c>
      <c r="B10" s="32">
        <f>PnL!C14/PnL!C4</f>
        <v>5.5010170783369283E-2</v>
      </c>
      <c r="C10" s="30">
        <v>0.06</v>
      </c>
      <c r="D10" s="30">
        <v>0.1</v>
      </c>
      <c r="E10" s="2" t="s">
        <v>225</v>
      </c>
    </row>
    <row r="11" spans="1:5" x14ac:dyDescent="0.2">
      <c r="A11" s="3" t="s">
        <v>226</v>
      </c>
      <c r="B11" s="32">
        <f>PnL!C31/PnL!C4</f>
        <v>0.25825953987603983</v>
      </c>
      <c r="C11" s="30">
        <v>0.1</v>
      </c>
      <c r="D11" s="30">
        <v>0.2</v>
      </c>
      <c r="E11" s="2" t="s">
        <v>227</v>
      </c>
    </row>
    <row r="12" spans="1:5" x14ac:dyDescent="0.2">
      <c r="A12" s="3" t="s">
        <v>228</v>
      </c>
      <c r="B12" s="26">
        <f>Investment!$B$37</f>
        <v>607044.44451443735</v>
      </c>
    </row>
    <row r="13" spans="1:5" x14ac:dyDescent="0.2">
      <c r="A13" s="3" t="s">
        <v>229</v>
      </c>
      <c r="B13" s="23">
        <f>Investment!$B$37/Revenue!$E$13</f>
        <v>0.61221634037363692</v>
      </c>
      <c r="C13" s="36">
        <v>0.4</v>
      </c>
      <c r="D13" s="36">
        <v>0.8</v>
      </c>
    </row>
    <row r="14" spans="1:5" x14ac:dyDescent="0.2">
      <c r="A14" s="3" t="s">
        <v>230</v>
      </c>
      <c r="B14" s="23">
        <f>Investment!$B$37/PnL!C39</f>
        <v>2.8662214295727719</v>
      </c>
      <c r="C14" s="36">
        <v>2.5</v>
      </c>
      <c r="D14" s="36">
        <v>4.5</v>
      </c>
    </row>
    <row r="15" spans="1:5" x14ac:dyDescent="0.2">
      <c r="A15" s="3" t="s">
        <v>231</v>
      </c>
      <c r="B15" s="32">
        <f>BreakEven!C17</f>
        <v>0.77140324324081722</v>
      </c>
      <c r="D15" s="30">
        <v>0.85</v>
      </c>
      <c r="E15" s="2" t="s">
        <v>232</v>
      </c>
    </row>
    <row r="17" spans="1:1" x14ac:dyDescent="0.2">
      <c r="A17" s="2" t="s">
        <v>261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 Me</vt:lpstr>
      <vt:lpstr>Assumptions</vt:lpstr>
      <vt:lpstr>Revenue</vt:lpstr>
      <vt:lpstr>Investment</vt:lpstr>
      <vt:lpstr>Loan</vt:lpstr>
      <vt:lpstr>PnL</vt:lpstr>
      <vt:lpstr>BreakEven</vt:lpstr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Thomas Gilodi</cp:lastModifiedBy>
  <cp:revision>0</cp:revision>
  <dcterms:created xsi:type="dcterms:W3CDTF">2026-09-16T13:26:08Z</dcterms:created>
  <dcterms:modified xsi:type="dcterms:W3CDTF">2026-09-16T17:40:59Z</dcterms:modified>
  <dc:language>en-US</dc:language>
</cp:coreProperties>
</file>